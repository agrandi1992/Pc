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T234WD\Downloads\Pilotage Commercial GP\"/>
    </mc:Choice>
  </mc:AlternateContent>
  <xr:revisionPtr revIDLastSave="0" documentId="8_{B4666304-D29A-4A28-9E53-C4C9CF3D6A63}" xr6:coauthVersionLast="47" xr6:coauthVersionMax="47" xr10:uidLastSave="{00000000-0000-0000-0000-000000000000}"/>
  <bookViews>
    <workbookView xWindow="-110" yWindow="-110" windowWidth="19420" windowHeight="11500" xr2:uid="{3D763F97-2F4F-4147-AAE1-96E002289C76}"/>
  </bookViews>
  <sheets>
    <sheet name="G - Pilotage commercial" sheetId="1" r:id="rId1"/>
  </sheets>
  <definedNames>
    <definedName name="_xlnm._FilterDatabase" localSheetId="0" hidden="1">'G - Pilotage commercial'!$A$6:$Q$32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1" l="1"/>
  <c r="E1" i="1"/>
  <c r="E3" i="1" l="1"/>
</calcChain>
</file>

<file path=xl/sharedStrings.xml><?xml version="1.0" encoding="utf-8"?>
<sst xmlns="http://schemas.openxmlformats.org/spreadsheetml/2006/main" count="329" uniqueCount="160">
  <si>
    <t xml:space="preserve">Emilie </t>
  </si>
  <si>
    <t xml:space="preserve">Nombre total d'indicateurs : </t>
  </si>
  <si>
    <t>Définition :</t>
  </si>
  <si>
    <t>Le pilotage de l’activité commerciale consiste à suivre et analyser la performance des mandataires afin de les accompagner vers leurs objectifs, avec un suivi renforcé pour ceux ayant moins d’un an d’ancienneté. Pour les mandataires de plus d’un an, le pilotage s’appuie sur des indicateurs plus consolidés et vise à optimiser durablement leur activité et leur autonomie</t>
  </si>
  <si>
    <t>Nombre d'indicateurs  P1 :</t>
  </si>
  <si>
    <t>Objectifs  :</t>
  </si>
  <si>
    <t>Piloter la performance commerciale
Prioriser les actions à valeur ajoutée
Suivre et améliorer l’efficacité de l’activité</t>
  </si>
  <si>
    <t>Mise à jour le :</t>
  </si>
  <si>
    <t>Nombre d'indicateurs  dépriorisés :</t>
  </si>
  <si>
    <r>
      <rPr>
        <b/>
        <i/>
        <sz val="9"/>
        <color rgb="FFFFFF00"/>
        <rFont val="Montserrat"/>
      </rPr>
      <t xml:space="preserve">Next Step : </t>
    </r>
    <r>
      <rPr>
        <i/>
        <sz val="9"/>
        <color rgb="FFFFFF00"/>
        <rFont val="Montserrat"/>
      </rPr>
      <t xml:space="preserve">
</t>
    </r>
  </si>
  <si>
    <t>Mettre à jour la liste</t>
  </si>
  <si>
    <t>Commentaire Data Analyste</t>
  </si>
  <si>
    <t>Index</t>
  </si>
  <si>
    <t>Type (brut ou calculé)</t>
  </si>
  <si>
    <t>Données constitutives</t>
  </si>
  <si>
    <t>Libellés Données</t>
  </si>
  <si>
    <t>Priorisation</t>
  </si>
  <si>
    <t xml:space="preserve">Commentaires </t>
  </si>
  <si>
    <t>Predictis</t>
  </si>
  <si>
    <t>CapFinances</t>
  </si>
  <si>
    <t>Définition métier - proposition EY</t>
  </si>
  <si>
    <t>Définition métier</t>
  </si>
  <si>
    <t>Règle de calcul</t>
  </si>
  <si>
    <t>Axes d'analyse</t>
  </si>
  <si>
    <t>Date clé / élement clé</t>
  </si>
  <si>
    <t>Statut</t>
  </si>
  <si>
    <t xml:space="preserve">Usager </t>
  </si>
  <si>
    <t xml:space="preserve">Seuil d'alerte </t>
  </si>
  <si>
    <t>Type d'alerte</t>
  </si>
  <si>
    <t>G.1</t>
  </si>
  <si>
    <t>Brut</t>
  </si>
  <si>
    <t>-</t>
  </si>
  <si>
    <t xml:space="preserve">Nombre de ventes </t>
  </si>
  <si>
    <t>P1</t>
  </si>
  <si>
    <t xml:space="preserve">impacte sur la source de la donnée (on ne s'appuie plus sur l'agenda) </t>
  </si>
  <si>
    <t>Une vente correspond au partage d’une affaire entre les mandataires ayant participé à sa signature. Lorsqu’une affaire est signée par plusieurs mandataires, chacun se voit attribuer une part de vente selon la répartition qu’ils ont définie ensemble (par exemple 0,5 vente chacun)</t>
  </si>
  <si>
    <t xml:space="preserve">Par mandataire / Indicateurs
Par ancienneté
Par période
Par gamme de produit
Par assureur
Par agence &gt; secteur &gt; centre d'affaires </t>
  </si>
  <si>
    <t>ok dev</t>
  </si>
  <si>
    <t>Direction
Direction commerciale
PP
Directeur d'agence
RTC
RT
SA</t>
  </si>
  <si>
    <t xml:space="preserve">Alerte si moins de 5 ventes par mois par mandataire </t>
  </si>
  <si>
    <t>Couleur</t>
  </si>
  <si>
    <t>G.2</t>
  </si>
  <si>
    <t xml:space="preserve">Nombre d'affaires produites </t>
  </si>
  <si>
    <t>Une affaire correspond à la souscription d’une prime unique, d’une prime périodique ou à l’augmentation de la valeur d’une prime périodique, pour une typologie de produit donnée au sein de la gamme (ADE, assurance vie, mutuelle, PER SS/TNS, prévoyance, immobilier, etc.). Elle constitue l’unité commerciale de référence. L'affaire est qualifiée de "produite" lorsqu'elle arrive en production.</t>
  </si>
  <si>
    <t xml:space="preserve">Par mandataire / Indicateurs
Par ancienneté
Par période
Par gamme de produit
Par assureur
Par agence &gt; secteur &gt; centre d'affaires
Par événement
Par apporteur </t>
  </si>
  <si>
    <t xml:space="preserve">Alerte si moins de 5 affaires par mois par mandataire </t>
  </si>
  <si>
    <t>G.3</t>
  </si>
  <si>
    <t xml:space="preserve">Volume d'affaires produites (en euro) </t>
  </si>
  <si>
    <t xml:space="preserve">Par mandataire / Indicateurs
Par ancienneté
Par période
Par assureur
Par gamme de produit
Par agence &gt; secteur &gt; centre d'affaires
Par événement
Par apporteur </t>
  </si>
  <si>
    <t>pas d'alerte</t>
  </si>
  <si>
    <t xml:space="preserve">pas d'alerte </t>
  </si>
  <si>
    <t>G.4</t>
  </si>
  <si>
    <t>Budget affaires en nombre</t>
  </si>
  <si>
    <t xml:space="preserve">pas d'impact </t>
  </si>
  <si>
    <t xml:space="preserve">Le nombre d'affaires prévues correspond à la projection des objectifs de ventes par affaires. </t>
  </si>
  <si>
    <t>Par période
Par assureur
Par gamme de produit
Par agence &gt; secteur &gt; centre d'affaires</t>
  </si>
  <si>
    <t xml:space="preserve">Fichier Excel donc voir l'intégration. Voir Jean-Yves </t>
  </si>
  <si>
    <t>Direction
Direction commerciale
PP
Directeur d'agence</t>
  </si>
  <si>
    <t>Alerte en cas de retard sur le budget hebdommadaire (répartition à 25%,50%,75%..)  en fonction de la semaine</t>
  </si>
  <si>
    <t>G.5</t>
  </si>
  <si>
    <t>Budget affaires en euro</t>
  </si>
  <si>
    <t xml:space="preserve">Le volume d'affaires prévues correspond à la projection des objectifs de ventes par affaires. </t>
  </si>
  <si>
    <t>G.6</t>
  </si>
  <si>
    <t>Nombre de mandataire Actif</t>
  </si>
  <si>
    <t xml:space="preserve">pas corrélé à OAV </t>
  </si>
  <si>
    <t>Le nombre de mandataires actifs correspond au nombre de mandataires qui se sont connectés à la console durant les 30 derniers jours</t>
  </si>
  <si>
    <t>Par période
Par ancienneté
Par agence &gt; secteur &gt; centre d'affaires</t>
  </si>
  <si>
    <t>G.7</t>
  </si>
  <si>
    <t>Nombre de mandataire Inactif</t>
  </si>
  <si>
    <t>Le nombre de mandataires inactifs correspond au nombre de mandataires qui ne se sont pas connectés à la console durant les 30 derniers jours</t>
  </si>
  <si>
    <t>G.8</t>
  </si>
  <si>
    <t>Nombre de mandataire Productif</t>
  </si>
  <si>
    <t xml:space="preserve">source qui changera (base de donnée OAV) </t>
  </si>
  <si>
    <t>Idcompar --&gt; identifiant des affaires 
Idsalpar --&gt; id des MIA commissionné sur l'affaire 
Compar --&gt; % touché par le MIA sur l'affaire 
Reppar --&gt; date de retrocom</t>
  </si>
  <si>
    <t xml:space="preserve">Mandataire ayant saisi au moins une affaire sur la période. </t>
  </si>
  <si>
    <t>Par mandataire / Indicateurs
Par période
Par ancienneté
Par agence &gt; secteur &gt; centre d'affaires</t>
  </si>
  <si>
    <t>A revoir avec Hmida</t>
  </si>
  <si>
    <t>G.9</t>
  </si>
  <si>
    <t>Nombre de mandataire non Productif</t>
  </si>
  <si>
    <t xml:space="preserve">Mandataire n'ayant saisi aucune affaire sur la période. </t>
  </si>
  <si>
    <t>G.10</t>
  </si>
  <si>
    <t>Nombre de mandataire rétrocommissionés</t>
  </si>
  <si>
    <t xml:space="preserve">gestion dans un module de production (pas d'impact OAV mais risque sur la modularisation) </t>
  </si>
  <si>
    <t>Le nombre de mandataires commisionnés correspond au nombre de mandataires qui obtient au moins une rétro-commission sur une période donnée.</t>
  </si>
  <si>
    <t>G.11</t>
  </si>
  <si>
    <t>Nombre de mandataire non retrocommissionés</t>
  </si>
  <si>
    <t>Le nombre de mandataires commisionnés correspond au nombre de mandataires qui n'obtient aucune rétro-commission sur une période donnée.</t>
  </si>
  <si>
    <t>G.12</t>
  </si>
  <si>
    <t>Nombre de RDV hebdomadaire moyen</t>
  </si>
  <si>
    <t>Besoin de croiser entre date de rdv et si le rdv est fait ou non okrv c'est du déclaratif 
on compte le nombre de RDV et on divise par le nombre de semaine depuis le début de la période</t>
  </si>
  <si>
    <t xml:space="preserve">Le nombre de rendez-vous hebdomadaire moyen correspond à la moyenne du nombre de rendez‑vous réalisés par semaine par un mandataire et sur une période donnée, calculée à partir des rendez‑vous effectivement tenus. </t>
  </si>
  <si>
    <t>Par période 
Par ancienneté
Par mandataire / Indicateurs
Par agence &gt; secteur &gt; centre d'affaires
Par type (suivi client, R1, R2, R3, R2 immos, R3 immos)</t>
  </si>
  <si>
    <t>G.13</t>
  </si>
  <si>
    <t>Calculé</t>
  </si>
  <si>
    <t>G.14
G.15</t>
  </si>
  <si>
    <t>Taux de réalisation des rendez-vous</t>
  </si>
  <si>
    <t>Le taux de réalisation des rendez-vous correspond au rapport entre le nombre de rendez-vous réalisés et le nombre de rendez-vous prévus, sur une période donnée.</t>
  </si>
  <si>
    <t xml:space="preserve">Nombre de rendez-vous prévus (Total) / Nombre de rendez-vous réalisés (Total) </t>
  </si>
  <si>
    <t>Par type (suivi client, R1, R2, R3, R2 immos, R3 immos)
Par mandataire 
Par ancienneté
Distinction client / prospect, 
Par période
Par CSP de client
Présentiel / visio
Par agence &gt; secteur &gt; centre d'affaires</t>
  </si>
  <si>
    <t xml:space="preserve">Alerte si le taux de réalisation des rdv est inférieur à 66% --&gt; Rouge </t>
  </si>
  <si>
    <t>G.14</t>
  </si>
  <si>
    <t xml:space="preserve">Nombre de rendez-vous prévus </t>
  </si>
  <si>
    <t xml:space="preserve">Le nombre de rendez-vous prévus correspond au total des rendez‑vous planifiés sur une période donnée, tels qu’enregistrés dans les outils de planification (agenda de la console). Sont inclus les rendez-vous de suivi client, les R1, R2, R3, R2 immos et R3 immos. </t>
  </si>
  <si>
    <t>Somme des rendez-vous prévus par type (suivi client, R1, R2, R3, R2 immos, R3 immos)</t>
  </si>
  <si>
    <r>
      <t xml:space="preserve">Par type (suivi client, R1, R2, R3, R2 immos, R3 immos)
Par mandataire 
Par ancienneté
Distinction client / prospect, 
Par période
Par CSP de client
</t>
    </r>
    <r>
      <rPr>
        <sz val="9"/>
        <rFont val="Montserrat"/>
      </rPr>
      <t>Présentiel / visio</t>
    </r>
    <r>
      <rPr>
        <sz val="9"/>
        <color theme="1"/>
        <rFont val="Montserrat"/>
      </rPr>
      <t xml:space="preserve"> 
Par agence &gt; secteur &gt; centre d'affaires</t>
    </r>
  </si>
  <si>
    <t>Alerte si le nombre de rdv prévus par semaine par mandataire est inférieur à 15 --&gt; rouge
compris entre 15 et 17 --&gt; orange au-delà de 18 --&gt; vert</t>
  </si>
  <si>
    <t>G.15</t>
  </si>
  <si>
    <t>Nombre de rendez-vous réalisés</t>
  </si>
  <si>
    <t xml:space="preserve">source peut etre enrichie avec l'OAV (plus de déclaratif mais activité OAV) </t>
  </si>
  <si>
    <t xml:space="preserve">Le nombre de rendez-vous réalisés correspond au total des rendez‑vous planifiés sur une période donnée et ayant effectivement lieu. Sont inclus les rendez-vous de suivi client, les R1, R2, R3, R2 immos et R3 immos. </t>
  </si>
  <si>
    <t>Somme des rendez-vous réalisés par type (suivi client, R1, R2, R3, R2 immos, R3 immos)</t>
  </si>
  <si>
    <t>Distinction quand prévu par le binôme --&gt; valider la dispo de l'info</t>
  </si>
  <si>
    <t>Alerte si le nombre de RDV moyen hebdo par mandataire est inférieur à 12 --&gt; rouge
compris entre 12 et 15 --&gt; orange
au-delà de 15 --&gt; vert</t>
  </si>
  <si>
    <t>G.16</t>
  </si>
  <si>
    <t>G.17
G.18</t>
  </si>
  <si>
    <t>Taux de transformation des prospects</t>
  </si>
  <si>
    <t>P2</t>
  </si>
  <si>
    <t xml:space="preserve">prospect à client ok tunnel de transformatoin --&gt; OAV (en attente) 
précision du nombre de RDV necessaires pour transformer le prospect et distinction entre prospects et clients déjà suivi </t>
  </si>
  <si>
    <t>Le taux de transformation des prospects correspond à la part des prospects ayant eu rdv et qui sont devenu client sur une période donnée.</t>
  </si>
  <si>
    <t>Par type (suivi client, R1, R2, R3, R2 immos, R3 immos)
Par mandataire 
Distinction client / prospect, 
Par période
Par CSP de client
Présentiel / visio</t>
  </si>
  <si>
    <t>OAV</t>
  </si>
  <si>
    <t>G.18</t>
  </si>
  <si>
    <t>G.20
G.21</t>
  </si>
  <si>
    <t>Taux de rendez-vous réalisés en visioconférence</t>
  </si>
  <si>
    <t xml:space="preserve">ok déploiement en attente d'OAV pour meilleure qualité </t>
  </si>
  <si>
    <t xml:space="preserve">La part des rendez-vous en visio correspond au pourcentage de rendez‑vous réalisés en visioconférence par rapport au nombre total de rendez-vous réalisés sur une période donnée. </t>
  </si>
  <si>
    <t>Par type (suivi client, R1, R2, R3, R2 immos, R3 immos)
Par mandataire 
Distinction client / prospect, 
Par période
Par CSP de client
Présentiel / visio
Par agence &gt; secteur &gt; centre d'affaires</t>
  </si>
  <si>
    <t xml:space="preserve">Alerte si un mandatatire fait plus de 33% de ses rdv fait en visio --&gt; alerte </t>
  </si>
  <si>
    <t>recevoir un mail qui remonte le nombre d'alerte sur un centre d'affaire plutôt que par mandataires</t>
  </si>
  <si>
    <t>G.19</t>
  </si>
  <si>
    <t>Taux de rendez-vous faits à domicile</t>
  </si>
  <si>
    <t>La part des rendez-vous faits à domicile correspond au pourcentage de rendez‑vous réalisés au domicile par rapport au nombre total de rendez-vous réalisés sur une période donnée.</t>
  </si>
  <si>
    <t>G.20</t>
  </si>
  <si>
    <t>Nombre de rendez-vous réalisés en visioconférence</t>
  </si>
  <si>
    <t>Le nombre de rendez-vous réalisés en visioconférence correspond au nombre de rendez-vous effectivement tenus et réalisés via un outil de visioconférence sur une période donnée.</t>
  </si>
  <si>
    <t>G.21</t>
  </si>
  <si>
    <t>Nombre de rendez-vous faits à domicile</t>
  </si>
  <si>
    <t>Le nombre de rendez-vous faits à domicile correspond au nombre de rendez-vous réalisés en présentiel au domicile du client sur une période donnée.</t>
  </si>
  <si>
    <t>G.22</t>
  </si>
  <si>
    <t>G.23
G.24</t>
  </si>
  <si>
    <t>Pourcentage du patrimoine capté</t>
  </si>
  <si>
    <t>Le taux de patrimoine capté correspond au pourcentage du patrimoine exploitable d’un client ayant fait l’objet d’un engagement contractuel, c’est‑à‑dire transformé en patrimoine contractualisé.</t>
  </si>
  <si>
    <t>G.23</t>
  </si>
  <si>
    <t>Patrimoine exploitable</t>
  </si>
  <si>
    <t>Le patrimoine exploitable correspond au montant total des sommes détenues par un client, déjà épargnées ou mobilisables, pouvant être utilisées pour la souscription ou l’alimentation d’un produit de la gamme.</t>
  </si>
  <si>
    <t>G.24</t>
  </si>
  <si>
    <t xml:space="preserve">Patrimoine contractualisé </t>
  </si>
  <si>
    <t>Le patrimoine contractualisé correspond au montant total des sommes ayant fait l’objet d’un engagement contractuel par le client, à travers un ou plusieurs produits souscrits.</t>
  </si>
  <si>
    <t>G.25</t>
  </si>
  <si>
    <t>Nombre de produits détenus (par client)</t>
  </si>
  <si>
    <t>Hors périmètre</t>
  </si>
  <si>
    <t>Le nombre de produits détenus correspond au nombre total de produits ayant fait l’objet d’un engagement contractuel par un client et disposant d’un contrat actif, tous produits confondus.</t>
  </si>
  <si>
    <t>Tableau de la liste des clients d'un mandataire avec le nombre de produits détenus</t>
  </si>
  <si>
    <t>Valider la faisabilité</t>
  </si>
  <si>
    <t>G.26</t>
  </si>
  <si>
    <t xml:space="preserve">Date du dernier RDV (par client) </t>
  </si>
  <si>
    <t>La date du dernier rendez‑vous correspond à la date la plus récente à laquelle un rendez‑vous a été réalisé entre un client et un mandataire, tous types de rendez‑vous confondus.</t>
  </si>
  <si>
    <t>G.27</t>
  </si>
  <si>
    <t xml:space="preserve">Date de dernière mises à jour des données du client </t>
  </si>
  <si>
    <t>La date de dernière mise à jour des données du client correspond à la date la plus récente à laquelle au moins une information du dossier client a été modifiée ou actualisée dans le système de référence.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</si>
</sst>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9"/>
      <color theme="8" tint="-0.499984740745262"/>
      <name val="Montserrat"/>
    </font>
    <font>
      <b/>
      <i/>
      <sz val="9"/>
      <color rgb="FFFFFF00"/>
      <name val="Montserrat"/>
    </font>
    <font>
      <b/>
      <sz val="9"/>
      <color theme="0"/>
      <name val="Montserrat"/>
    </font>
    <font>
      <sz val="9"/>
      <color theme="0"/>
      <name val="Montserrat"/>
    </font>
    <font>
      <sz val="9"/>
      <color theme="1"/>
      <name val="Montserrat"/>
    </font>
    <font>
      <i/>
      <sz val="9"/>
      <color rgb="FFFFFF00"/>
      <name val="Montserrat"/>
    </font>
    <font>
      <b/>
      <sz val="9"/>
      <color theme="1"/>
      <name val="Montserrat"/>
    </font>
    <font>
      <b/>
      <sz val="9"/>
      <name val="Montserrat"/>
    </font>
    <font>
      <b/>
      <sz val="9"/>
      <color rgb="FFFFFF00"/>
      <name val="Montserrat"/>
    </font>
    <font>
      <b/>
      <sz val="9"/>
      <color rgb="FF000000"/>
      <name val="Montserrat"/>
    </font>
    <font>
      <sz val="9"/>
      <name val="Montserrat"/>
    </font>
    <font>
      <i/>
      <sz val="9"/>
      <color theme="1"/>
      <name val="Montserrat"/>
    </font>
  </fonts>
  <fills count="15">
    <fill>
      <patternFill patternType="none"/>
    </fill>
    <fill>
      <patternFill patternType="gray125"/>
    </fill>
    <fill>
      <patternFill patternType="solid">
        <fgColor theme="5"/>
        <bgColor indexed="64"/>
      </patternFill>
    </fill>
    <fill>
      <patternFill patternType="solid">
        <fgColor theme="0" tint="-0.499984740745262"/>
        <bgColor indexed="64"/>
      </patternFill>
    </fill>
    <fill>
      <patternFill patternType="solid">
        <fgColor theme="0"/>
        <bgColor theme="4"/>
      </patternFill>
    </fill>
    <fill>
      <patternFill patternType="solid">
        <fgColor rgb="FF808080"/>
        <bgColor rgb="FF0F9ED5"/>
      </patternFill>
    </fill>
    <fill>
      <patternFill patternType="solid">
        <fgColor theme="9" tint="0.79998168889431442"/>
        <bgColor theme="4" tint="0.79998168889431442"/>
      </patternFill>
    </fill>
    <fill>
      <patternFill patternType="solid">
        <fgColor theme="0"/>
        <bgColor indexed="64"/>
      </patternFill>
    </fill>
    <fill>
      <patternFill patternType="solid">
        <fgColor theme="8" tint="0.79998168889431442"/>
        <bgColor indexed="64"/>
      </patternFill>
    </fill>
    <fill>
      <patternFill patternType="solid">
        <fgColor theme="0"/>
        <bgColor theme="4" tint="0.79998168889431442"/>
      </patternFill>
    </fill>
    <fill>
      <patternFill patternType="solid">
        <fgColor theme="5" tint="0.79998168889431442"/>
        <bgColor theme="4" tint="0.79998168889431442"/>
      </patternFill>
    </fill>
    <fill>
      <patternFill patternType="solid">
        <fgColor theme="0" tint="-0.14999847407452621"/>
        <bgColor indexed="64"/>
      </patternFill>
    </fill>
    <fill>
      <patternFill patternType="solid">
        <fgColor theme="0" tint="-0.14999847407452621"/>
        <bgColor theme="4" tint="0.79998168889431442"/>
      </patternFill>
    </fill>
    <fill>
      <patternFill patternType="solid">
        <fgColor theme="5" tint="0.79998168889431442"/>
        <bgColor indexed="64"/>
      </patternFill>
    </fill>
    <fill>
      <patternFill patternType="solid">
        <fgColor rgb="FFC00000"/>
        <bgColor theme="4" tint="0.79998168889431442"/>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center" vertical="center" wrapText="1"/>
    </xf>
    <xf numFmtId="14" fontId="3" fillId="3" borderId="0" xfId="0" applyNumberFormat="1" applyFont="1" applyFill="1" applyAlignment="1">
      <alignment horizontal="center" vertical="center" wrapText="1"/>
    </xf>
    <xf numFmtId="0" fontId="6" fillId="3" borderId="0" xfId="0" applyFont="1" applyFill="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4"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9" fillId="5"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6" borderId="7"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5" fillId="9" borderId="3" xfId="0" quotePrefix="1" applyFont="1" applyFill="1" applyBorder="1" applyAlignment="1">
      <alignment horizontal="center" vertical="center" wrapText="1"/>
    </xf>
    <xf numFmtId="0" fontId="5" fillId="9" borderId="3"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9" borderId="5"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11" borderId="3"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5" fillId="11" borderId="7"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5" fillId="12" borderId="8"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1" borderId="9"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2" borderId="3" xfId="0" quotePrefix="1"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12" borderId="7" xfId="0" applyFont="1" applyFill="1" applyBorder="1" applyAlignment="1">
      <alignment horizontal="center" vertical="center" wrapText="1"/>
    </xf>
    <xf numFmtId="0" fontId="5" fillId="13" borderId="3" xfId="0" applyFont="1" applyFill="1" applyBorder="1" applyAlignment="1">
      <alignment horizontal="center" vertical="center" wrapText="1"/>
    </xf>
    <xf numFmtId="0" fontId="5" fillId="10" borderId="3" xfId="0" quotePrefix="1"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3" borderId="5"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5" fillId="13" borderId="0" xfId="0" applyFont="1" applyFill="1" applyAlignment="1">
      <alignment horizontal="center" vertical="center" wrapText="1"/>
    </xf>
    <xf numFmtId="0" fontId="12" fillId="14" borderId="2"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5" fillId="13" borderId="11" xfId="0" applyFont="1" applyFill="1" applyBorder="1" applyAlignment="1">
      <alignment horizontal="center" vertical="center" wrapText="1"/>
    </xf>
    <xf numFmtId="0" fontId="5" fillId="10" borderId="5" xfId="0" applyFont="1" applyFill="1" applyBorder="1" applyAlignment="1">
      <alignment horizontal="center"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3A48F-B807-47D3-BA76-DE94B87BFE1F}">
  <sheetPr>
    <tabColor theme="5"/>
  </sheetPr>
  <dimension ref="A1:Q32"/>
  <sheetViews>
    <sheetView tabSelected="1" topLeftCell="A4" zoomScale="60" zoomScaleNormal="60" workbookViewId="0">
      <selection activeCell="F21" sqref="F21"/>
    </sheetView>
  </sheetViews>
  <sheetFormatPr defaultColWidth="11.453125" defaultRowHeight="14" x14ac:dyDescent="0.35"/>
  <cols>
    <col min="1" max="1" width="10.54296875" style="6" bestFit="1" customWidth="1"/>
    <col min="2" max="2" width="10.54296875" style="6" customWidth="1"/>
    <col min="3" max="3" width="13.453125" style="6" customWidth="1"/>
    <col min="4" max="4" width="31.54296875" style="6" customWidth="1"/>
    <col min="5" max="5" width="20.1796875" style="6" customWidth="1"/>
    <col min="6" max="6" width="42" style="6" customWidth="1"/>
    <col min="7" max="7" width="22.453125" style="6" customWidth="1"/>
    <col min="8" max="8" width="39" style="6" customWidth="1"/>
    <col min="9" max="9" width="46.81640625" style="6" customWidth="1"/>
    <col min="10" max="10" width="37.54296875" style="6" customWidth="1"/>
    <col min="11" max="11" width="33.26953125" style="6" customWidth="1"/>
    <col min="12" max="12" width="52.1796875" style="6" customWidth="1"/>
    <col min="13" max="13" width="11.453125" style="6"/>
    <col min="14" max="14" width="11.453125" style="6" bestFit="1" customWidth="1"/>
    <col min="15" max="15" width="37.54296875" style="6" customWidth="1"/>
    <col min="16" max="17" width="11.453125" style="6" bestFit="1" customWidth="1"/>
    <col min="18" max="16384" width="11.453125" style="6"/>
  </cols>
  <sheetData>
    <row r="1" spans="1:17" ht="238" hidden="1" x14ac:dyDescent="0.35">
      <c r="A1" s="1" t="s">
        <v>0</v>
      </c>
      <c r="B1" s="2"/>
      <c r="C1" s="2"/>
      <c r="D1" s="3" t="s">
        <v>1</v>
      </c>
      <c r="E1" s="4">
        <f>COUNTA(D$7:D461)</f>
        <v>26</v>
      </c>
      <c r="F1" s="3" t="s">
        <v>2</v>
      </c>
      <c r="G1" s="5" t="s">
        <v>3</v>
      </c>
      <c r="H1" s="5"/>
      <c r="I1" s="5"/>
    </row>
    <row r="2" spans="1:17" ht="84" hidden="1" x14ac:dyDescent="0.35">
      <c r="A2" s="1"/>
      <c r="B2" s="2"/>
      <c r="C2" s="2"/>
      <c r="D2" s="3" t="s">
        <v>4</v>
      </c>
      <c r="E2" s="4">
        <f>COUNTIF(E$7:E461,"P1")</f>
        <v>15</v>
      </c>
      <c r="F2" s="3" t="s">
        <v>5</v>
      </c>
      <c r="G2" s="5" t="s">
        <v>6</v>
      </c>
      <c r="H2" s="3" t="s">
        <v>7</v>
      </c>
      <c r="I2" s="7">
        <v>46077</v>
      </c>
    </row>
    <row r="3" spans="1:17" ht="28" hidden="1" x14ac:dyDescent="0.35">
      <c r="A3" s="1"/>
      <c r="B3" s="2"/>
      <c r="C3" s="2"/>
      <c r="D3" s="3" t="s">
        <v>8</v>
      </c>
      <c r="E3" s="4">
        <f>E1-E2</f>
        <v>11</v>
      </c>
      <c r="F3" s="8" t="s">
        <v>9</v>
      </c>
      <c r="G3" s="5" t="s">
        <v>10</v>
      </c>
      <c r="H3" s="5"/>
      <c r="I3" s="5"/>
    </row>
    <row r="5" spans="1:17" x14ac:dyDescent="0.35">
      <c r="G5" s="9" t="s">
        <v>11</v>
      </c>
      <c r="H5" s="10"/>
    </row>
    <row r="6" spans="1:17" ht="28" x14ac:dyDescent="0.35">
      <c r="A6" s="11" t="s">
        <v>12</v>
      </c>
      <c r="B6" s="12" t="s">
        <v>13</v>
      </c>
      <c r="C6" s="11" t="s">
        <v>14</v>
      </c>
      <c r="D6" s="11" t="s">
        <v>15</v>
      </c>
      <c r="E6" s="11" t="s">
        <v>16</v>
      </c>
      <c r="F6" s="13" t="s">
        <v>17</v>
      </c>
      <c r="G6" s="14" t="s">
        <v>18</v>
      </c>
      <c r="H6" s="14" t="s">
        <v>19</v>
      </c>
      <c r="I6" s="13" t="s">
        <v>20</v>
      </c>
      <c r="J6" s="11" t="s">
        <v>21</v>
      </c>
      <c r="K6" s="11" t="s">
        <v>22</v>
      </c>
      <c r="L6" s="11" t="s">
        <v>23</v>
      </c>
      <c r="M6" s="15" t="s">
        <v>24</v>
      </c>
      <c r="N6" s="13" t="s">
        <v>25</v>
      </c>
      <c r="O6" s="16" t="s">
        <v>26</v>
      </c>
      <c r="P6" s="16" t="s">
        <v>27</v>
      </c>
      <c r="Q6" s="16" t="s">
        <v>28</v>
      </c>
    </row>
    <row r="7" spans="1:17" ht="98" x14ac:dyDescent="0.35">
      <c r="A7" s="17" t="s">
        <v>29</v>
      </c>
      <c r="B7" s="17" t="s">
        <v>30</v>
      </c>
      <c r="C7" s="17" t="s">
        <v>31</v>
      </c>
      <c r="D7" s="17" t="s">
        <v>32</v>
      </c>
      <c r="E7" s="17" t="s">
        <v>33</v>
      </c>
      <c r="F7" s="18" t="s">
        <v>34</v>
      </c>
      <c r="G7" s="17"/>
      <c r="H7" s="17"/>
      <c r="I7" s="19" t="s">
        <v>35</v>
      </c>
      <c r="J7" s="20"/>
      <c r="K7" s="17"/>
      <c r="L7" s="18" t="s">
        <v>36</v>
      </c>
      <c r="M7" s="17"/>
      <c r="N7" s="21" t="s">
        <v>37</v>
      </c>
      <c r="O7" s="22" t="s">
        <v>38</v>
      </c>
      <c r="P7" s="17" t="s">
        <v>39</v>
      </c>
      <c r="Q7" s="17" t="s">
        <v>40</v>
      </c>
    </row>
    <row r="8" spans="1:17" ht="112" x14ac:dyDescent="0.35">
      <c r="A8" s="17" t="s">
        <v>41</v>
      </c>
      <c r="B8" s="17" t="s">
        <v>30</v>
      </c>
      <c r="C8" s="17" t="s">
        <v>31</v>
      </c>
      <c r="D8" s="17" t="s">
        <v>42</v>
      </c>
      <c r="E8" s="17" t="s">
        <v>33</v>
      </c>
      <c r="F8" s="18" t="s">
        <v>34</v>
      </c>
      <c r="G8" s="17"/>
      <c r="H8" s="17"/>
      <c r="I8" s="19" t="s">
        <v>43</v>
      </c>
      <c r="J8" s="20"/>
      <c r="K8" s="17"/>
      <c r="L8" s="18" t="s">
        <v>44</v>
      </c>
      <c r="M8" s="17"/>
      <c r="N8" s="21" t="s">
        <v>37</v>
      </c>
      <c r="O8" s="22" t="s">
        <v>38</v>
      </c>
      <c r="P8" s="17" t="s">
        <v>45</v>
      </c>
      <c r="Q8" s="17" t="s">
        <v>40</v>
      </c>
    </row>
    <row r="9" spans="1:17" ht="112" x14ac:dyDescent="0.35">
      <c r="A9" s="17" t="s">
        <v>46</v>
      </c>
      <c r="B9" s="17" t="s">
        <v>30</v>
      </c>
      <c r="C9" s="17" t="s">
        <v>31</v>
      </c>
      <c r="D9" s="17" t="s">
        <v>47</v>
      </c>
      <c r="E9" s="17" t="s">
        <v>33</v>
      </c>
      <c r="F9" s="18" t="s">
        <v>34</v>
      </c>
      <c r="G9" s="17"/>
      <c r="H9" s="17"/>
      <c r="I9" s="19" t="s">
        <v>43</v>
      </c>
      <c r="J9" s="20"/>
      <c r="K9" s="17"/>
      <c r="L9" s="18" t="s">
        <v>48</v>
      </c>
      <c r="M9" s="17"/>
      <c r="N9" s="21" t="s">
        <v>37</v>
      </c>
      <c r="O9" s="22" t="s">
        <v>38</v>
      </c>
      <c r="P9" s="17" t="s">
        <v>49</v>
      </c>
      <c r="Q9" s="17" t="s">
        <v>50</v>
      </c>
    </row>
    <row r="10" spans="1:17" ht="140" x14ac:dyDescent="0.35">
      <c r="A10" s="17" t="s">
        <v>51</v>
      </c>
      <c r="B10" s="17" t="s">
        <v>30</v>
      </c>
      <c r="C10" s="17" t="s">
        <v>31</v>
      </c>
      <c r="D10" s="17" t="s">
        <v>52</v>
      </c>
      <c r="E10" s="17" t="s">
        <v>33</v>
      </c>
      <c r="F10" s="18" t="s">
        <v>53</v>
      </c>
      <c r="G10" s="17"/>
      <c r="H10" s="17"/>
      <c r="I10" s="19" t="s">
        <v>54</v>
      </c>
      <c r="J10" s="20"/>
      <c r="K10" s="17"/>
      <c r="L10" s="18" t="s">
        <v>55</v>
      </c>
      <c r="M10" s="17"/>
      <c r="N10" s="23" t="s">
        <v>56</v>
      </c>
      <c r="O10" s="22" t="s">
        <v>57</v>
      </c>
      <c r="P10" s="17" t="s">
        <v>58</v>
      </c>
      <c r="Q10" s="17" t="s">
        <v>40</v>
      </c>
    </row>
    <row r="11" spans="1:17" ht="140" x14ac:dyDescent="0.35">
      <c r="A11" s="17" t="s">
        <v>59</v>
      </c>
      <c r="B11" s="17" t="s">
        <v>30</v>
      </c>
      <c r="C11" s="17" t="s">
        <v>31</v>
      </c>
      <c r="D11" s="17" t="s">
        <v>60</v>
      </c>
      <c r="E11" s="17" t="s">
        <v>33</v>
      </c>
      <c r="F11" s="18" t="s">
        <v>53</v>
      </c>
      <c r="G11" s="17"/>
      <c r="H11" s="17"/>
      <c r="I11" s="19" t="s">
        <v>61</v>
      </c>
      <c r="J11" s="20"/>
      <c r="K11" s="17"/>
      <c r="L11" s="18" t="s">
        <v>55</v>
      </c>
      <c r="M11" s="17"/>
      <c r="N11" s="23" t="s">
        <v>56</v>
      </c>
      <c r="O11" s="22" t="s">
        <v>57</v>
      </c>
      <c r="P11" s="17" t="s">
        <v>58</v>
      </c>
      <c r="Q11" s="17" t="s">
        <v>40</v>
      </c>
    </row>
    <row r="12" spans="1:17" ht="98" x14ac:dyDescent="0.35">
      <c r="A12" s="17" t="s">
        <v>62</v>
      </c>
      <c r="B12" s="17" t="s">
        <v>30</v>
      </c>
      <c r="C12" s="24" t="s">
        <v>31</v>
      </c>
      <c r="D12" s="25" t="s">
        <v>63</v>
      </c>
      <c r="E12" s="22" t="s">
        <v>33</v>
      </c>
      <c r="F12" s="26" t="s">
        <v>64</v>
      </c>
      <c r="G12" s="22"/>
      <c r="H12" s="17"/>
      <c r="I12" s="27" t="s">
        <v>65</v>
      </c>
      <c r="J12" s="17"/>
      <c r="K12" s="25" t="s">
        <v>31</v>
      </c>
      <c r="L12" s="28" t="s">
        <v>66</v>
      </c>
      <c r="M12" s="17"/>
      <c r="N12" s="21" t="s">
        <v>37</v>
      </c>
      <c r="O12" s="22" t="s">
        <v>38</v>
      </c>
      <c r="P12" s="17" t="s">
        <v>49</v>
      </c>
      <c r="Q12" s="17" t="s">
        <v>50</v>
      </c>
    </row>
    <row r="13" spans="1:17" ht="98" x14ac:dyDescent="0.35">
      <c r="A13" s="17" t="s">
        <v>67</v>
      </c>
      <c r="B13" s="17" t="s">
        <v>30</v>
      </c>
      <c r="C13" s="24" t="s">
        <v>31</v>
      </c>
      <c r="D13" s="25" t="s">
        <v>68</v>
      </c>
      <c r="E13" s="22" t="s">
        <v>33</v>
      </c>
      <c r="F13" s="26" t="s">
        <v>64</v>
      </c>
      <c r="G13" s="22"/>
      <c r="H13" s="17"/>
      <c r="I13" s="27" t="s">
        <v>69</v>
      </c>
      <c r="J13" s="17"/>
      <c r="K13" s="25" t="s">
        <v>31</v>
      </c>
      <c r="L13" s="28" t="s">
        <v>66</v>
      </c>
      <c r="M13" s="17"/>
      <c r="N13" s="21" t="s">
        <v>37</v>
      </c>
      <c r="O13" s="22" t="s">
        <v>38</v>
      </c>
      <c r="P13" s="17" t="s">
        <v>49</v>
      </c>
      <c r="Q13" s="17" t="s">
        <v>50</v>
      </c>
    </row>
    <row r="14" spans="1:17" ht="98" x14ac:dyDescent="0.35">
      <c r="A14" s="17" t="s">
        <v>70</v>
      </c>
      <c r="B14" s="17" t="s">
        <v>30</v>
      </c>
      <c r="C14" s="24" t="s">
        <v>31</v>
      </c>
      <c r="D14" s="25" t="s">
        <v>71</v>
      </c>
      <c r="E14" s="22" t="s">
        <v>33</v>
      </c>
      <c r="F14" s="26" t="s">
        <v>72</v>
      </c>
      <c r="G14" s="22"/>
      <c r="H14" s="17" t="s">
        <v>73</v>
      </c>
      <c r="I14" s="27" t="s">
        <v>74</v>
      </c>
      <c r="J14" s="17"/>
      <c r="K14" s="25" t="s">
        <v>31</v>
      </c>
      <c r="L14" s="28" t="s">
        <v>75</v>
      </c>
      <c r="M14" s="17"/>
      <c r="N14" s="29" t="s">
        <v>76</v>
      </c>
      <c r="O14" s="22" t="s">
        <v>38</v>
      </c>
      <c r="P14" s="17" t="s">
        <v>49</v>
      </c>
      <c r="Q14" s="17" t="s">
        <v>50</v>
      </c>
    </row>
    <row r="15" spans="1:17" ht="98" x14ac:dyDescent="0.35">
      <c r="A15" s="17" t="s">
        <v>77</v>
      </c>
      <c r="B15" s="17" t="s">
        <v>30</v>
      </c>
      <c r="C15" s="24" t="s">
        <v>31</v>
      </c>
      <c r="D15" s="25" t="s">
        <v>78</v>
      </c>
      <c r="E15" s="22" t="s">
        <v>33</v>
      </c>
      <c r="F15" s="26" t="s">
        <v>72</v>
      </c>
      <c r="G15" s="22"/>
      <c r="H15" s="17" t="s">
        <v>73</v>
      </c>
      <c r="I15" s="27" t="s">
        <v>79</v>
      </c>
      <c r="J15" s="17"/>
      <c r="K15" s="25" t="s">
        <v>31</v>
      </c>
      <c r="L15" s="28" t="s">
        <v>75</v>
      </c>
      <c r="M15" s="17"/>
      <c r="N15" s="29" t="s">
        <v>76</v>
      </c>
      <c r="O15" s="22" t="s">
        <v>38</v>
      </c>
      <c r="P15" s="17" t="s">
        <v>49</v>
      </c>
      <c r="Q15" s="17" t="s">
        <v>50</v>
      </c>
    </row>
    <row r="16" spans="1:17" ht="98" x14ac:dyDescent="0.35">
      <c r="A16" s="17" t="s">
        <v>80</v>
      </c>
      <c r="B16" s="17" t="s">
        <v>30</v>
      </c>
      <c r="C16" s="24" t="s">
        <v>31</v>
      </c>
      <c r="D16" s="25" t="s">
        <v>81</v>
      </c>
      <c r="E16" s="22" t="s">
        <v>33</v>
      </c>
      <c r="F16" s="26" t="s">
        <v>82</v>
      </c>
      <c r="G16" s="22"/>
      <c r="H16" s="17"/>
      <c r="I16" s="27" t="s">
        <v>83</v>
      </c>
      <c r="J16" s="17"/>
      <c r="K16" s="25"/>
      <c r="L16" s="28" t="s">
        <v>75</v>
      </c>
      <c r="M16" s="17"/>
      <c r="N16" s="29" t="s">
        <v>76</v>
      </c>
      <c r="O16" s="22" t="s">
        <v>38</v>
      </c>
      <c r="P16" s="17" t="s">
        <v>49</v>
      </c>
      <c r="Q16" s="17" t="s">
        <v>50</v>
      </c>
    </row>
    <row r="17" spans="1:17" ht="98" x14ac:dyDescent="0.35">
      <c r="A17" s="17" t="s">
        <v>84</v>
      </c>
      <c r="B17" s="17" t="s">
        <v>30</v>
      </c>
      <c r="C17" s="24" t="s">
        <v>31</v>
      </c>
      <c r="D17" s="25" t="s">
        <v>85</v>
      </c>
      <c r="E17" s="22" t="s">
        <v>33</v>
      </c>
      <c r="F17" s="26" t="s">
        <v>82</v>
      </c>
      <c r="G17" s="22"/>
      <c r="H17" s="17"/>
      <c r="I17" s="27" t="s">
        <v>86</v>
      </c>
      <c r="J17" s="17"/>
      <c r="K17" s="25"/>
      <c r="L17" s="28" t="s">
        <v>75</v>
      </c>
      <c r="M17" s="17"/>
      <c r="N17" s="29" t="s">
        <v>76</v>
      </c>
      <c r="O17" s="22" t="s">
        <v>38</v>
      </c>
      <c r="P17" s="17" t="s">
        <v>49</v>
      </c>
      <c r="Q17" s="17" t="s">
        <v>50</v>
      </c>
    </row>
    <row r="18" spans="1:17" ht="98" x14ac:dyDescent="0.35">
      <c r="A18" s="17" t="s">
        <v>87</v>
      </c>
      <c r="B18" s="17" t="s">
        <v>30</v>
      </c>
      <c r="C18" s="22" t="s">
        <v>31</v>
      </c>
      <c r="D18" s="22" t="s">
        <v>88</v>
      </c>
      <c r="E18" s="22" t="s">
        <v>33</v>
      </c>
      <c r="F18" s="26" t="s">
        <v>53</v>
      </c>
      <c r="G18" s="22"/>
      <c r="H18" s="17" t="s">
        <v>89</v>
      </c>
      <c r="I18" s="27" t="s">
        <v>90</v>
      </c>
      <c r="J18" s="17"/>
      <c r="K18" s="22" t="s">
        <v>31</v>
      </c>
      <c r="L18" s="26" t="s">
        <v>91</v>
      </c>
      <c r="M18" s="17"/>
      <c r="N18" s="21" t="s">
        <v>37</v>
      </c>
      <c r="O18" s="22" t="s">
        <v>38</v>
      </c>
      <c r="P18" s="17" t="s">
        <v>50</v>
      </c>
      <c r="Q18" s="17" t="s">
        <v>50</v>
      </c>
    </row>
    <row r="19" spans="1:17" ht="112" x14ac:dyDescent="0.35">
      <c r="A19" s="17" t="s">
        <v>92</v>
      </c>
      <c r="B19" s="17" t="s">
        <v>93</v>
      </c>
      <c r="C19" s="22" t="s">
        <v>94</v>
      </c>
      <c r="D19" s="22" t="s">
        <v>95</v>
      </c>
      <c r="E19" s="22" t="s">
        <v>33</v>
      </c>
      <c r="F19" s="26" t="s">
        <v>53</v>
      </c>
      <c r="G19" s="22"/>
      <c r="H19" s="17"/>
      <c r="I19" s="27" t="s">
        <v>96</v>
      </c>
      <c r="J19" s="17"/>
      <c r="K19" s="22" t="s">
        <v>97</v>
      </c>
      <c r="L19" s="28" t="s">
        <v>98</v>
      </c>
      <c r="M19" s="17"/>
      <c r="N19" s="21" t="s">
        <v>37</v>
      </c>
      <c r="O19" s="22" t="s">
        <v>38</v>
      </c>
      <c r="P19" s="17" t="s">
        <v>99</v>
      </c>
      <c r="Q19" s="17" t="s">
        <v>40</v>
      </c>
    </row>
    <row r="20" spans="1:17" ht="196" x14ac:dyDescent="0.35">
      <c r="A20" s="17" t="s">
        <v>100</v>
      </c>
      <c r="B20" s="17" t="s">
        <v>30</v>
      </c>
      <c r="C20" s="24" t="s">
        <v>31</v>
      </c>
      <c r="D20" s="25" t="s">
        <v>101</v>
      </c>
      <c r="E20" s="22" t="s">
        <v>33</v>
      </c>
      <c r="F20" s="26" t="s">
        <v>53</v>
      </c>
      <c r="G20" s="22"/>
      <c r="H20" s="17"/>
      <c r="I20" s="27" t="s">
        <v>102</v>
      </c>
      <c r="J20" s="17"/>
      <c r="K20" s="24" t="s">
        <v>103</v>
      </c>
      <c r="L20" s="28" t="s">
        <v>104</v>
      </c>
      <c r="M20" s="17"/>
      <c r="N20" s="30" t="s">
        <v>37</v>
      </c>
      <c r="O20" s="22" t="s">
        <v>38</v>
      </c>
      <c r="P20" s="17" t="s">
        <v>105</v>
      </c>
      <c r="Q20" s="17" t="s">
        <v>40</v>
      </c>
    </row>
    <row r="21" spans="1:17" ht="182" x14ac:dyDescent="0.35">
      <c r="A21" s="17" t="s">
        <v>106</v>
      </c>
      <c r="B21" s="17" t="s">
        <v>30</v>
      </c>
      <c r="C21" s="24" t="s">
        <v>31</v>
      </c>
      <c r="D21" s="25" t="s">
        <v>107</v>
      </c>
      <c r="E21" s="22" t="s">
        <v>33</v>
      </c>
      <c r="F21" s="31" t="s">
        <v>108</v>
      </c>
      <c r="G21" s="22"/>
      <c r="H21" s="17"/>
      <c r="I21" s="27" t="s">
        <v>109</v>
      </c>
      <c r="J21" s="17"/>
      <c r="K21" s="24" t="s">
        <v>110</v>
      </c>
      <c r="L21" s="28" t="s">
        <v>98</v>
      </c>
      <c r="M21" s="18"/>
      <c r="N21" s="32" t="s">
        <v>111</v>
      </c>
      <c r="O21" s="33" t="s">
        <v>38</v>
      </c>
      <c r="P21" s="17" t="s">
        <v>112</v>
      </c>
      <c r="Q21" s="17" t="s">
        <v>40</v>
      </c>
    </row>
    <row r="22" spans="1:17" ht="98" x14ac:dyDescent="0.35">
      <c r="A22" s="34" t="s">
        <v>113</v>
      </c>
      <c r="B22" s="34" t="s">
        <v>93</v>
      </c>
      <c r="C22" s="34" t="s">
        <v>114</v>
      </c>
      <c r="D22" s="34" t="s">
        <v>115</v>
      </c>
      <c r="E22" s="35" t="s">
        <v>116</v>
      </c>
      <c r="F22" s="34" t="s">
        <v>117</v>
      </c>
      <c r="G22" s="36"/>
      <c r="H22" s="34"/>
      <c r="I22" s="36" t="s">
        <v>118</v>
      </c>
      <c r="J22" s="34"/>
      <c r="K22" s="34"/>
      <c r="L22" s="37" t="s">
        <v>119</v>
      </c>
      <c r="M22" s="34"/>
      <c r="N22" s="38" t="s">
        <v>120</v>
      </c>
      <c r="O22" s="34" t="s">
        <v>38</v>
      </c>
      <c r="P22" s="34" t="s">
        <v>49</v>
      </c>
      <c r="Q22" s="34" t="s">
        <v>50</v>
      </c>
    </row>
    <row r="23" spans="1:17" ht="140" x14ac:dyDescent="0.35">
      <c r="A23" s="34" t="s">
        <v>121</v>
      </c>
      <c r="B23" s="34" t="s">
        <v>93</v>
      </c>
      <c r="C23" s="39" t="s">
        <v>122</v>
      </c>
      <c r="D23" s="39" t="s">
        <v>123</v>
      </c>
      <c r="E23" s="34" t="s">
        <v>116</v>
      </c>
      <c r="F23" s="40" t="s">
        <v>124</v>
      </c>
      <c r="G23" s="34"/>
      <c r="H23" s="34"/>
      <c r="I23" s="36" t="s">
        <v>125</v>
      </c>
      <c r="J23" s="34"/>
      <c r="K23" s="39"/>
      <c r="L23" s="37" t="s">
        <v>126</v>
      </c>
      <c r="M23" s="34"/>
      <c r="N23" s="41" t="s">
        <v>120</v>
      </c>
      <c r="O23" s="34" t="s">
        <v>38</v>
      </c>
      <c r="P23" s="34" t="s">
        <v>127</v>
      </c>
      <c r="Q23" s="34" t="s">
        <v>128</v>
      </c>
    </row>
    <row r="24" spans="1:17" ht="98" x14ac:dyDescent="0.35">
      <c r="A24" s="34" t="s">
        <v>129</v>
      </c>
      <c r="B24" s="34" t="s">
        <v>93</v>
      </c>
      <c r="C24" s="39" t="s">
        <v>122</v>
      </c>
      <c r="D24" s="34" t="s">
        <v>130</v>
      </c>
      <c r="E24" s="34" t="s">
        <v>116</v>
      </c>
      <c r="F24" s="42" t="s">
        <v>124</v>
      </c>
      <c r="G24" s="34"/>
      <c r="H24" s="34"/>
      <c r="I24" s="36" t="s">
        <v>131</v>
      </c>
      <c r="J24" s="34"/>
      <c r="K24" s="34"/>
      <c r="L24" s="37" t="s">
        <v>126</v>
      </c>
      <c r="M24" s="34"/>
      <c r="N24" s="41" t="s">
        <v>120</v>
      </c>
      <c r="O24" s="34" t="s">
        <v>38</v>
      </c>
      <c r="P24" s="34" t="s">
        <v>49</v>
      </c>
      <c r="Q24" s="34" t="s">
        <v>50</v>
      </c>
    </row>
    <row r="25" spans="1:17" ht="98" x14ac:dyDescent="0.35">
      <c r="A25" s="34" t="s">
        <v>132</v>
      </c>
      <c r="B25" s="34" t="s">
        <v>30</v>
      </c>
      <c r="C25" s="43" t="s">
        <v>31</v>
      </c>
      <c r="D25" s="34" t="s">
        <v>133</v>
      </c>
      <c r="E25" s="34" t="s">
        <v>116</v>
      </c>
      <c r="F25" s="42" t="s">
        <v>124</v>
      </c>
      <c r="G25" s="34"/>
      <c r="H25" s="34"/>
      <c r="I25" s="36" t="s">
        <v>134</v>
      </c>
      <c r="J25" s="34"/>
      <c r="K25" s="34"/>
      <c r="L25" s="37" t="s">
        <v>126</v>
      </c>
      <c r="M25" s="34"/>
      <c r="N25" s="41" t="s">
        <v>120</v>
      </c>
      <c r="O25" s="34" t="s">
        <v>38</v>
      </c>
      <c r="P25" s="34" t="s">
        <v>49</v>
      </c>
      <c r="Q25" s="34" t="s">
        <v>50</v>
      </c>
    </row>
    <row r="26" spans="1:17" ht="98" x14ac:dyDescent="0.35">
      <c r="A26" s="34" t="s">
        <v>135</v>
      </c>
      <c r="B26" s="34" t="s">
        <v>30</v>
      </c>
      <c r="C26" s="43" t="s">
        <v>31</v>
      </c>
      <c r="D26" s="34" t="s">
        <v>136</v>
      </c>
      <c r="E26" s="34" t="s">
        <v>116</v>
      </c>
      <c r="F26" s="42" t="s">
        <v>124</v>
      </c>
      <c r="G26" s="34"/>
      <c r="H26" s="34"/>
      <c r="I26" s="36" t="s">
        <v>137</v>
      </c>
      <c r="J26" s="34"/>
      <c r="K26" s="34"/>
      <c r="L26" s="37" t="s">
        <v>126</v>
      </c>
      <c r="M26" s="34"/>
      <c r="N26" s="41" t="s">
        <v>120</v>
      </c>
      <c r="O26" s="34" t="s">
        <v>38</v>
      </c>
      <c r="P26" s="34" t="s">
        <v>49</v>
      </c>
      <c r="Q26" s="34" t="s">
        <v>50</v>
      </c>
    </row>
    <row r="27" spans="1:17" ht="56" x14ac:dyDescent="0.35">
      <c r="A27" s="34" t="s">
        <v>138</v>
      </c>
      <c r="B27" s="34" t="s">
        <v>93</v>
      </c>
      <c r="C27" s="39" t="s">
        <v>139</v>
      </c>
      <c r="D27" s="39" t="s">
        <v>140</v>
      </c>
      <c r="E27" s="34" t="s">
        <v>116</v>
      </c>
      <c r="F27" s="42" t="s">
        <v>124</v>
      </c>
      <c r="G27" s="34"/>
      <c r="H27" s="34"/>
      <c r="I27" s="36" t="s">
        <v>141</v>
      </c>
      <c r="J27" s="34"/>
      <c r="K27" s="39"/>
      <c r="L27" s="37"/>
      <c r="M27" s="34"/>
      <c r="N27" s="41" t="s">
        <v>120</v>
      </c>
      <c r="O27" s="34"/>
      <c r="P27" s="34"/>
      <c r="Q27" s="34"/>
    </row>
    <row r="28" spans="1:17" ht="70" x14ac:dyDescent="0.35">
      <c r="A28" s="34" t="s">
        <v>142</v>
      </c>
      <c r="B28" s="34" t="s">
        <v>30</v>
      </c>
      <c r="C28" s="39" t="s">
        <v>31</v>
      </c>
      <c r="D28" s="39" t="s">
        <v>143</v>
      </c>
      <c r="E28" s="34" t="s">
        <v>116</v>
      </c>
      <c r="F28" s="42" t="s">
        <v>124</v>
      </c>
      <c r="G28" s="34"/>
      <c r="H28" s="34"/>
      <c r="I28" s="44" t="s">
        <v>144</v>
      </c>
      <c r="J28" s="34"/>
      <c r="K28" s="39"/>
      <c r="L28" s="37"/>
      <c r="M28" s="34"/>
      <c r="N28" s="41" t="s">
        <v>120</v>
      </c>
      <c r="O28" s="34"/>
      <c r="P28" s="34"/>
      <c r="Q28" s="34"/>
    </row>
    <row r="29" spans="1:17" ht="56" x14ac:dyDescent="0.35">
      <c r="A29" s="34" t="s">
        <v>145</v>
      </c>
      <c r="B29" s="34" t="s">
        <v>30</v>
      </c>
      <c r="C29" s="34" t="s">
        <v>31</v>
      </c>
      <c r="D29" s="34" t="s">
        <v>146</v>
      </c>
      <c r="E29" s="35" t="s">
        <v>116</v>
      </c>
      <c r="F29" s="34" t="s">
        <v>124</v>
      </c>
      <c r="G29" s="36"/>
      <c r="H29" s="35"/>
      <c r="I29" s="34" t="s">
        <v>147</v>
      </c>
      <c r="J29" s="36"/>
      <c r="K29" s="34"/>
      <c r="L29" s="35"/>
      <c r="M29" s="34"/>
      <c r="N29" s="45" t="s">
        <v>120</v>
      </c>
      <c r="O29" s="34"/>
      <c r="P29" s="34"/>
      <c r="Q29" s="34"/>
    </row>
    <row r="30" spans="1:17" ht="56" x14ac:dyDescent="0.35">
      <c r="A30" s="46" t="s">
        <v>148</v>
      </c>
      <c r="B30" s="46" t="s">
        <v>30</v>
      </c>
      <c r="C30" s="47" t="s">
        <v>31</v>
      </c>
      <c r="D30" s="46" t="s">
        <v>149</v>
      </c>
      <c r="E30" s="46" t="s">
        <v>31</v>
      </c>
      <c r="F30" s="48" t="s">
        <v>150</v>
      </c>
      <c r="G30" s="46"/>
      <c r="H30" s="49"/>
      <c r="I30" s="50" t="s">
        <v>151</v>
      </c>
      <c r="J30" s="51"/>
      <c r="K30" s="46"/>
      <c r="L30" s="49" t="s">
        <v>152</v>
      </c>
      <c r="M30" s="46"/>
      <c r="N30" s="52" t="s">
        <v>153</v>
      </c>
      <c r="O30" s="46"/>
      <c r="P30" s="46"/>
      <c r="Q30" s="46"/>
    </row>
    <row r="31" spans="1:17" ht="56" x14ac:dyDescent="0.35">
      <c r="A31" s="46" t="s">
        <v>154</v>
      </c>
      <c r="B31" s="46" t="s">
        <v>30</v>
      </c>
      <c r="C31" s="47" t="s">
        <v>31</v>
      </c>
      <c r="D31" s="32" t="s">
        <v>155</v>
      </c>
      <c r="E31" s="49" t="s">
        <v>31</v>
      </c>
      <c r="F31" s="46" t="s">
        <v>150</v>
      </c>
      <c r="G31" s="53"/>
      <c r="H31" s="46"/>
      <c r="I31" s="54" t="s">
        <v>156</v>
      </c>
      <c r="J31" s="46"/>
      <c r="K31" s="32"/>
      <c r="L31" s="55"/>
      <c r="M31" s="46"/>
      <c r="N31" s="52" t="s">
        <v>153</v>
      </c>
      <c r="O31" s="46"/>
      <c r="P31" s="46"/>
      <c r="Q31" s="46"/>
    </row>
    <row r="32" spans="1:17" ht="56" x14ac:dyDescent="0.35">
      <c r="A32" s="46" t="s">
        <v>157</v>
      </c>
      <c r="B32" s="46" t="s">
        <v>30</v>
      </c>
      <c r="C32" s="47" t="s">
        <v>31</v>
      </c>
      <c r="D32" s="46" t="s">
        <v>158</v>
      </c>
      <c r="E32" s="46" t="s">
        <v>31</v>
      </c>
      <c r="F32" s="46" t="s">
        <v>150</v>
      </c>
      <c r="G32" s="46"/>
      <c r="H32" s="46"/>
      <c r="I32" s="53" t="s">
        <v>159</v>
      </c>
      <c r="J32" s="46"/>
      <c r="K32" s="46"/>
      <c r="L32" s="55"/>
      <c r="M32" s="46"/>
      <c r="N32" s="52" t="s">
        <v>153</v>
      </c>
      <c r="O32" s="46"/>
      <c r="P32" s="46"/>
      <c r="Q32" s="46"/>
    </row>
  </sheetData>
  <autoFilter ref="A6:Q32" xr:uid="{D1383E77-3D3F-4CEB-A9DC-F64EDCEECB95}"/>
  <mergeCells count="2">
    <mergeCell ref="A1:A3"/>
    <mergeCell ref="G5:H5"/>
  </mergeCells>
  <conditionalFormatting sqref="D6">
    <cfRule type="duplicateValues" dxfId="1" priority="1"/>
  </conditionalFormatting>
  <conditionalFormatting sqref="D33:D1048576 D1:D4">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 - Pilotage commercial</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Othmane Agrandi</dc:creator>
  <cp:lastModifiedBy>Othmane Agrandi</cp:lastModifiedBy>
  <dcterms:created xsi:type="dcterms:W3CDTF">2026-05-27T10:41:04Z</dcterms:created>
  <dcterms:modified xsi:type="dcterms:W3CDTF">2026-05-27T10:41:46Z</dcterms:modified>
</cp:coreProperties>
</file>