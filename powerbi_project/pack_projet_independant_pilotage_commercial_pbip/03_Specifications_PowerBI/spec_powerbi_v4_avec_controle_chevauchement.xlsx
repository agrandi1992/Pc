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tables/table2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db5b33975f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f5131f4bbb6e44f9"/>
    <x:sheet xmlns:r="http://schemas.openxmlformats.org/officeDocument/2006/relationships" name="01_Menu_Navigation" sheetId="2" r:id="R4800d8fcc1084493"/>
    <x:sheet xmlns:r="http://schemas.openxmlformats.org/officeDocument/2006/relationships" name="02_Slicers_FieldParams" sheetId="3" r:id="R9d0028af84e44aaf"/>
    <x:sheet xmlns:r="http://schemas.openxmlformats.org/officeDocument/2006/relationships" name="03_Template_Card" sheetId="4" r:id="Rde843daae81b4e7e"/>
    <x:sheet xmlns:r="http://schemas.openxmlformats.org/officeDocument/2006/relationships" name="04_Types_Visuels" sheetId="5" r:id="Rf6873e80a81a4618"/>
    <x:sheet xmlns:r="http://schemas.openxmlformats.org/officeDocument/2006/relationships" name="05_Repartition_Pages" sheetId="6" r:id="R8e1fb4b1fa594707"/>
    <x:sheet xmlns:r="http://schemas.openxmlformats.org/officeDocument/2006/relationships" name="06_KPI_Excel_BIM" sheetId="7" r:id="Rb5ae8214b5f34fa6"/>
    <x:sheet xmlns:r="http://schemas.openxmlformats.org/officeDocument/2006/relationships" name="07_DAX_Bookmarks" sheetId="8" r:id="R0c081df3986b4224"/>
    <x:sheet xmlns:r="http://schemas.openxmlformats.org/officeDocument/2006/relationships" name="08_Controle_Overlap" sheetId="9" r:id="Rfaad319c8abe4865"/>
    <x:sheet xmlns:r="http://schemas.openxmlformats.org/officeDocument/2006/relationships" name="09_Check_Overlap" sheetId="10" r:id="Ra727c2a661ef47bb"/>
    <x:sheet xmlns:r="http://schemas.openxmlformats.org/officeDocument/2006/relationships" name="10_Prompt_Overlap" sheetId="11" r:id="Rb59d970991e94b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sz val="10"/>
      <x:color rgb="1C2434"/>
      <x:name val="Carlito"/>
    </x:font>
    <x:font>
      <x:b/>
      <x:sz val="14"/>
      <x:color rgb="FFFFFF"/>
      <x:name val="Carlito"/>
    </x:font>
    <x:font>
      <x:b/>
      <x:sz val="11"/>
      <x:color rgb="073B7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73B73"/>
      </x:patternFill>
    </x:fill>
    <x:fill>
      <x:patternFill patternType="solid">
        <x:fgColor rgb="073B73"/>
      </x:patternFill>
    </x:fill>
    <x:fill>
      <x:patternFill patternType="solid">
        <x:fgColor rgb="D71920"/>
      </x:patternFill>
    </x:fill>
    <x:fill>
      <x:patternFill patternType="solid">
        <x:fgColor rgb="EAF3FF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D71920"/>
      </x:font>
      <x:fill>
        <x:patternFill patternType="solid">
          <x:bgColor rgb="FFF1F2"/>
        </x:patternFill>
      </x:fill>
    </x:dxf>
    <x:dxf>
      <x:font>
        <x:b/>
        <x:color rgb="198754"/>
      </x:font>
      <x:fill>
        <x:patternFill patternType="solid">
          <x:bgColor rgb="EAF7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9973b0c634431" /><Relationship Type="http://schemas.openxmlformats.org/officeDocument/2006/relationships/theme" Target="/xl/theme/theme1.xml" Id="R70817d989c7b4f8c" /><Relationship Type="http://schemas.openxmlformats.org/officeDocument/2006/relationships/sharedStrings" Target="/xl/sharedStrings.xml" Id="R6d7067d25cfb4543" /><Relationship Type="http://schemas.openxmlformats.org/officeDocument/2006/relationships/worksheet" Target="/xl/worksheets/sheet1.xml" Id="Rf5131f4bbb6e44f9" /><Relationship Type="http://schemas.openxmlformats.org/officeDocument/2006/relationships/worksheet" Target="/xl/worksheets/sheet2.xml" Id="R4800d8fcc1084493" /><Relationship Type="http://schemas.openxmlformats.org/officeDocument/2006/relationships/worksheet" Target="/xl/worksheets/sheet3.xml" Id="R9d0028af84e44aaf" /><Relationship Type="http://schemas.openxmlformats.org/officeDocument/2006/relationships/worksheet" Target="/xl/worksheets/sheet4.xml" Id="Rde843daae81b4e7e" /><Relationship Type="http://schemas.openxmlformats.org/officeDocument/2006/relationships/worksheet" Target="/xl/worksheets/sheet5.xml" Id="Rf6873e80a81a4618" /><Relationship Type="http://schemas.openxmlformats.org/officeDocument/2006/relationships/worksheet" Target="/xl/worksheets/sheet6.xml" Id="R8e1fb4b1fa594707" /><Relationship Type="http://schemas.openxmlformats.org/officeDocument/2006/relationships/worksheet" Target="/xl/worksheets/sheet7.xml" Id="Rb5ae8214b5f34fa6" /><Relationship Type="http://schemas.openxmlformats.org/officeDocument/2006/relationships/worksheet" Target="/xl/worksheets/sheet8.xml" Id="R0c081df3986b4224" /><Relationship Type="http://schemas.openxmlformats.org/officeDocument/2006/relationships/worksheet" Target="/xl/worksheets/sheet9.xml" Id="Rfaad319c8abe4865" /><Relationship Type="http://schemas.openxmlformats.org/officeDocument/2006/relationships/worksheet" Target="/xl/worksheets/sheet10.xml" Id="Ra727c2a661ef47bb" /><Relationship Type="http://schemas.openxmlformats.org/officeDocument/2006/relationships/worksheet" Target="/xl/worksheets/sheet11.xml" Id="Rb59d970991e94b6f" /></Relationships>
</file>

<file path=xl/tables/table1.xml><?xml version="1.0" encoding="utf-8"?>
<x:table xmlns:x="http://schemas.openxmlformats.org/spreadsheetml/2006/main" id="1" name="Tbl_Objects_Overlap" displayName="Tbl_Objects_Overlap" ref="A1:M95" headerRowCount="1">
  <x:tableColumns count="13">
    <x:tableColumn id="1" name="Page"/>
    <x:tableColumn id="2" name="Groupe"/>
    <x:tableColumn id="3" name="Objet"/>
    <x:tableColumn id="4" name="Type visuel/objet"/>
    <x:tableColumn id="5" name="X"/>
    <x:tableColumn id="6" name="Y"/>
    <x:tableColumn id="7" name="W"/>
    <x:tableColumn id="8" name="H"/>
    <x:tableColumn id="9" name="Right=X+W"/>
    <x:tableColumn id="10" name="Bottom=Y+H"/>
    <x:tableColumn id="11" name="ZIndex"/>
    <x:tableColumn id="12" name="Politique overlap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bl_Check_Overlap" displayName="Tbl_Check_Overlap" ref="A1:W515" headerRowCount="1">
  <x:tableColumns count="23">
    <x:tableColumn id="1" name="Page"/>
    <x:tableColumn id="2" name="Groupe A"/>
    <x:tableColumn id="3" name="Objet A"/>
    <x:tableColumn id="4" name="Groupe B"/>
    <x:tableColumn id="5" name="Objet B"/>
    <x:tableColumn id="6" name="X1"/>
    <x:tableColumn id="7" name="Y1"/>
    <x:tableColumn id="8" name="W1"/>
    <x:tableColumn id="9" name="H1"/>
    <x:tableColumn id="10" name="Right1"/>
    <x:tableColumn id="11" name="Bottom1"/>
    <x:tableColumn id="12" name="X2"/>
    <x:tableColumn id="13" name="Y2"/>
    <x:tableColumn id="14" name="W2"/>
    <x:tableColumn id="15" name="H2"/>
    <x:tableColumn id="16" name="Right2"/>
    <x:tableColumn id="17" name="Bottom2"/>
    <x:tableColumn id="18" name="Overlap_W"/>
    <x:tableColumn id="19" name="Overlap_H"/>
    <x:tableColumn id="20" name="Overlap_Area"/>
    <x:tableColumn id="21" name="Statut formule"/>
    <x:tableColumn id="22" name="Statut pré-calculé"/>
    <x:tableColumn id="23" name="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fe85be1d2a7042b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.xml" Id="Redec0b10b0dc44e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36" customHeight="1">
      <x:c r="A1" s="6" t="str">
        <x:v>Livrable</x:v>
      </x:c>
      <x:c r="B1" s="6" t="str">
        <x:v>Spec Power BI v3 - navigation, slicers, field parameters, visual types, cards fusionnées</x:v>
      </x:c>
    </x:row>
    <x:row r="2">
      <x:c r="A2" s="14" t="str">
        <x:v>But</x:v>
      </x:c>
      <x:c r="B2" s="14" t="str">
        <x:v>Répondre précisément à la question : slicers, field parameters, type de visuel, mise en forme, menu de navigation.</x:v>
      </x:c>
    </x:row>
    <x:row r="3">
      <x:c r="A3" s="14" t="str">
        <x:v>Base visuelle</x:v>
      </x:c>
      <x:c r="B3" s="14" t="str">
        <x:v>Maquette HTML Pilotage Commercial</x:v>
      </x:c>
    </x:row>
    <x:row r="4">
      <x:c r="A4" s="14" t="str">
        <x:v>Base KPI</x:v>
      </x:c>
      <x:c r="B4" s="14" t="str">
        <x:v>Excel Pilotage commercial 1.xlsx - onglet G - Pilotage commercial</x:v>
      </x:c>
    </x:row>
    <x:row r="5">
      <x:c r="A5" s="14" t="str">
        <x:v>Base modèle</x:v>
      </x:c>
      <x:c r="B5" s="14" t="str">
        <x:v>Modele Original Pilotage Commercial.bim</x:v>
      </x:c>
    </x:row>
    <x:row r="6">
      <x:c r="A6" s="14" t="str">
        <x:v>Canvas</x:v>
      </x:c>
      <x:c r="B6" s="14" t="str">
        <x:v>1540 px de large ; hauteur variable par page ; fond #F1F5F9</x:v>
      </x:c>
    </x:row>
    <x:row r="7">
      <x:c r="A7" s="14" t="str">
        <x:v>Charte</x:v>
      </x:c>
      <x:c r="B7" s="14" t="str">
        <x:v>{"Canvas bg": "#F1F5F9", "Card bg": "#FFFFFF", "Card border": "#E1E8F0", "Ink": "#1C2434", "Muted": "#667085", "Red": "#D71920", "Red dark": "#B31219", "Red soft": "#FFF1F2", "Blue": "#0A4E97", "Blue dark": "#073B73", "Blue soft": "#EAF3FF", "Green": "#198754", "Green soft": "#EAF7EF", "Orange": "#E67E22", "Orange soft": "#FFF3E8", "Yellow": "#F1C40F", "Yellow soft": "#FFF9DB", "Grey soft": "#F7F9FC"}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6" customHeight="1">
      <x:c r="A1" s="6" t="str">
        <x:v>Objet</x:v>
      </x:c>
      <x:c r="B1" s="6" t="str">
        <x:v>Page</x:v>
      </x:c>
      <x:c r="C1" s="6" t="str">
        <x:v>X</x:v>
      </x:c>
      <x:c r="D1" s="6" t="str">
        <x:v>Y</x:v>
      </x:c>
      <x:c r="E1" s="6" t="str">
        <x:v>W</x:v>
      </x:c>
      <x:c r="F1" s="6" t="str">
        <x:v>H</x:v>
      </x:c>
      <x:c r="G1" s="6" t="str">
        <x:v>Type Power BI</x:v>
      </x:c>
      <x:c r="H1" s="6" t="str">
        <x:v>Mise en forme</x:v>
      </x:c>
      <x:c r="I1" s="6" t="str">
        <x:v>Couleur / Police</x:v>
      </x:c>
      <x:c r="J1" s="6" t="str">
        <x:v>Interaction / Bookmark</x:v>
      </x:c>
      <x:c r="K1" s="6" t="str">
        <x:v>Groupe Selection Pane</x:v>
      </x:c>
    </x:row>
    <x:row r="2">
      <x:c r="A2" s="14" t="str">
        <x:v>Canvas</x:v>
      </x:c>
      <x:c r="B2" s="14" t="str">
        <x:v>Toutes</x:v>
      </x:c>
      <x:c r="C2" s="14" t="n">
        <x:v>0</x:v>
      </x:c>
      <x:c r="D2" s="14" t="n">
        <x:v>0</x:v>
      </x:c>
      <x:c r="E2" s="14" t="n">
        <x:v>1540</x:v>
      </x:c>
      <x:c r="F2" s="14" t="str">
        <x:v>variable</x:v>
      </x:c>
      <x:c r="G2" s="14" t="str">
        <x:v>Page custom size</x:v>
      </x:c>
      <x:c r="H2" s="14" t="str">
        <x:v>Fond fixe, sans wallpaper auto</x:v>
      </x:c>
      <x:c r="I2" s="14" t="str">
        <x:v>#F1F5F9</x:v>
      </x:c>
      <x:c r="J2" s="14" t="str">
        <x:v>Aucune</x:v>
      </x:c>
      <x:c r="K2" s="14" t="str">
        <x:v>G00_Canvas</x:v>
      </x:c>
    </x:row>
    <x:row r="3">
      <x:c r="A3" s="14" t="str">
        <x:v>Header global</x:v>
      </x:c>
      <x:c r="B3" s="14" t="str">
        <x:v>Toutes</x:v>
      </x:c>
      <x:c r="C3" s="14" t="n">
        <x:v>0</x:v>
      </x:c>
      <x:c r="D3" s="14" t="n">
        <x:v>0</x:v>
      </x:c>
      <x:c r="E3" s="14" t="n">
        <x:v>1540</x:v>
      </x:c>
      <x:c r="F3" s="14" t="n">
        <x:v>88</x:v>
      </x:c>
      <x:c r="G3" s="14" t="str">
        <x:v>Rectangle shape</x:v>
      </x:c>
      <x:c r="H3" s="14" t="str">
        <x:v>Fond blanc, bordure basse 1px, ombre légère</x:v>
      </x:c>
      <x:c r="I3" s="14" t="str">
        <x:v>#FFFFFF / border #E1E8F0</x:v>
      </x:c>
      <x:c r="J3" s="14" t="str">
        <x:v>Toujours visible</x:v>
      </x:c>
      <x:c r="K3" s="14" t="str">
        <x:v>G00_Header_Global</x:v>
      </x:c>
    </x:row>
    <x:row r="4">
      <x:c r="A4" s="14" t="str">
        <x:v>Brand titre</x:v>
      </x:c>
      <x:c r="B4" s="14" t="str">
        <x:v>Toutes</x:v>
      </x:c>
      <x:c r="C4" s="14" t="n">
        <x:v>24</x:v>
      </x:c>
      <x:c r="D4" s="14" t="n">
        <x:v>18</x:v>
      </x:c>
      <x:c r="E4" s="14" t="n">
        <x:v>250</x:v>
      </x:c>
      <x:c r="F4" s="14" t="n">
        <x:v>24</x:v>
      </x:c>
      <x:c r="G4" s="14" t="str">
        <x:v>Text box</x:v>
      </x:c>
      <x:c r="H4" s="14" t="str">
        <x:v>Inter 20px bold</x:v>
      </x:c>
      <x:c r="I4" s="14" t="str">
        <x:v>#073B73</x:v>
      </x:c>
      <x:c r="J4" s="14" t="str">
        <x:v>Aucune</x:v>
      </x:c>
      <x:c r="K4" s="14" t="str">
        <x:v>G00_Header_Global</x:v>
      </x:c>
    </x:row>
    <x:row r="5">
      <x:c r="A5" s="14" t="str">
        <x:v>Brand sous-titre</x:v>
      </x:c>
      <x:c r="B5" s="14" t="str">
        <x:v>Toutes</x:v>
      </x:c>
      <x:c r="C5" s="14" t="n">
        <x:v>24</x:v>
      </x:c>
      <x:c r="D5" s="14" t="n">
        <x:v>48</x:v>
      </x:c>
      <x:c r="E5" s="14" t="n">
        <x:v>310</x:v>
      </x:c>
      <x:c r="F5" s="14" t="n">
        <x:v>18</x:v>
      </x:c>
      <x:c r="G5" s="14" t="str">
        <x:v>Text box</x:v>
      </x:c>
      <x:c r="H5" s="14" t="str">
        <x:v>Inter 12px</x:v>
      </x:c>
      <x:c r="I5" s="14" t="str">
        <x:v>#667085</x:v>
      </x:c>
      <x:c r="J5" s="14" t="str">
        <x:v>Aucune</x:v>
      </x:c>
      <x:c r="K5" s="14" t="str">
        <x:v>G00_Header_Global</x:v>
      </x:c>
    </x:row>
    <x:row r="6">
      <x:c r="A6" s="14" t="str">
        <x:v>Menu navigation container</x:v>
      </x:c>
      <x:c r="B6" s="14" t="str">
        <x:v>Toutes</x:v>
      </x:c>
      <x:c r="C6" s="14" t="n">
        <x:v>360</x:v>
      </x:c>
      <x:c r="D6" s="14" t="n">
        <x:v>18</x:v>
      </x:c>
      <x:c r="E6" s="14" t="n">
        <x:v>760</x:v>
      </x:c>
      <x:c r="F6" s="14" t="n">
        <x:v>46</x:v>
      </x:c>
      <x:c r="G6" s="14" t="str">
        <x:v>Button group / Page navigator custom</x:v>
      </x:c>
      <x:c r="H6" s="14" t="str">
        <x:v>Boutons pills, gap 8px</x:v>
      </x:c>
      <x:c r="I6" s="14" t="str">
        <x:v>Actif #D71920 blanc ; inactif blanc/#D71920</x:v>
      </x:c>
      <x:c r="J6" s="14" t="str">
        <x:v>Page navigation</x:v>
      </x:c>
      <x:c r="K6" s="14" t="str">
        <x:v>G00_Header_Global</x:v>
      </x:c>
    </x:row>
    <x:row r="7">
      <x:c r="A7" s="14" t="str">
        <x:v>Bouton Accueil</x:v>
      </x:c>
      <x:c r="B7" s="14" t="str">
        <x:v>Toutes</x:v>
      </x:c>
      <x:c r="C7" s="14" t="n">
        <x:v>360</x:v>
      </x:c>
      <x:c r="D7" s="14" t="n">
        <x:v>20</x:v>
      </x:c>
      <x:c r="E7" s="14" t="n">
        <x:v>78</x:v>
      </x:c>
      <x:c r="F7" s="14" t="n">
        <x:v>36</x:v>
      </x:c>
      <x:c r="G7" s="14" t="str">
        <x:v>Button</x:v>
      </x:c>
      <x:c r="H7" s="14" t="str">
        <x:v>Radius 999, border #F3CFD2, padding 10px</x:v>
      </x:c>
      <x:c r="I7" s="14" t="str">
        <x:v>Actif si page Accueil</x:v>
      </x:c>
      <x:c r="J7" s="14" t="str">
        <x:v>Navigate Page Accueil</x:v>
      </x:c>
      <x:c r="K7" s="14" t="str">
        <x:v>NAV_Accueil</x:v>
      </x:c>
    </x:row>
    <x:row r="8">
      <x:c r="A8" s="14" t="str">
        <x:v>Bouton Performance</x:v>
      </x:c>
      <x:c r="B8" s="14" t="str">
        <x:v>Toutes</x:v>
      </x:c>
      <x:c r="C8" s="14" t="n">
        <x:v>446</x:v>
      </x:c>
      <x:c r="D8" s="14" t="n">
        <x:v>20</x:v>
      </x:c>
      <x:c r="E8" s="14" t="n">
        <x:v>112</x:v>
      </x:c>
      <x:c r="F8" s="14" t="n">
        <x:v>36</x:v>
      </x:c>
      <x:c r="G8" s="14" t="str">
        <x:v>Button</x:v>
      </x:c>
      <x:c r="H8" s="14" t="str">
        <x:v>Radius 999, border #F3CFD2</x:v>
      </x:c>
      <x:c r="I8" s="14" t="str">
        <x:v>Actif si page Performance</x:v>
      </x:c>
      <x:c r="J8" s="14" t="str">
        <x:v>Navigate Page Performance</x:v>
      </x:c>
      <x:c r="K8" s="14" t="str">
        <x:v>NAV_Performance</x:v>
      </x:c>
    </x:row>
    <x:row r="9">
      <x:c r="A9" s="14" t="str">
        <x:v>Bouton Affaires</x:v>
      </x:c>
      <x:c r="B9" s="14" t="str">
        <x:v>Toutes</x:v>
      </x:c>
      <x:c r="C9" s="14" t="n">
        <x:v>566</x:v>
      </x:c>
      <x:c r="D9" s="14" t="n">
        <x:v>20</x:v>
      </x:c>
      <x:c r="E9" s="14" t="n">
        <x:v>88</x:v>
      </x:c>
      <x:c r="F9" s="14" t="n">
        <x:v>36</x:v>
      </x:c>
      <x:c r="G9" s="14" t="str">
        <x:v>Button</x:v>
      </x:c>
      <x:c r="H9" s="14" t="str">
        <x:v>Radius 999, border #F3CFD2</x:v>
      </x:c>
      <x:c r="I9" s="14" t="str">
        <x:v>Actif si page Affaires</x:v>
      </x:c>
      <x:c r="J9" s="14" t="str">
        <x:v>Navigate Page Affaires</x:v>
      </x:c>
      <x:c r="K9" s="14" t="str">
        <x:v>NAV_Affaires</x:v>
      </x:c>
    </x:row>
    <x:row r="10">
      <x:c r="A10" s="14" t="str">
        <x:v>Bouton Réseau MIA</x:v>
      </x:c>
      <x:c r="B10" s="14" t="str">
        <x:v>Toutes</x:v>
      </x:c>
      <x:c r="C10" s="14" t="n">
        <x:v>662</x:v>
      </x:c>
      <x:c r="D10" s="14" t="n">
        <x:v>20</x:v>
      </x:c>
      <x:c r="E10" s="14" t="n">
        <x:v>116</x:v>
      </x:c>
      <x:c r="F10" s="14" t="n">
        <x:v>36</x:v>
      </x:c>
      <x:c r="G10" s="14" t="str">
        <x:v>Button</x:v>
      </x:c>
      <x:c r="H10" s="14" t="str">
        <x:v>Radius 999, border #F3CFD2</x:v>
      </x:c>
      <x:c r="I10" s="14" t="str">
        <x:v>Actif si page Réseau MIA</x:v>
      </x:c>
      <x:c r="J10" s="14" t="str">
        <x:v>Navigate Page Réseau</x:v>
      </x:c>
      <x:c r="K10" s="14" t="str">
        <x:v>NAV_Reseau</x:v>
      </x:c>
    </x:row>
    <x:row r="11">
      <x:c r="A11" s="14" t="str">
        <x:v>Bouton Rendez-vous</x:v>
      </x:c>
      <x:c r="B11" s="14" t="str">
        <x:v>Toutes</x:v>
      </x:c>
      <x:c r="C11" s="14" t="n">
        <x:v>786</x:v>
      </x:c>
      <x:c r="D11" s="14" t="n">
        <x:v>20</x:v>
      </x:c>
      <x:c r="E11" s="14" t="n">
        <x:v>122</x:v>
      </x:c>
      <x:c r="F11" s="14" t="n">
        <x:v>36</x:v>
      </x:c>
      <x:c r="G11" s="14" t="str">
        <x:v>Button</x:v>
      </x:c>
      <x:c r="H11" s="14" t="str">
        <x:v>Radius 999, border #F3CFD2</x:v>
      </x:c>
      <x:c r="I11" s="14" t="str">
        <x:v>Actif si page RDV</x:v>
      </x:c>
      <x:c r="J11" s="14" t="str">
        <x:v>Navigate Page RDV</x:v>
      </x:c>
      <x:c r="K11" s="14" t="str">
        <x:v>NAV_RDV</x:v>
      </x:c>
    </x:row>
    <x:row r="12">
      <x:c r="A12" s="14" t="str">
        <x:v>Bouton Alertes</x:v>
      </x:c>
      <x:c r="B12" s="14" t="str">
        <x:v>Toutes</x:v>
      </x:c>
      <x:c r="C12" s="14" t="n">
        <x:v>916</x:v>
      </x:c>
      <x:c r="D12" s="14" t="n">
        <x:v>20</x:v>
      </x:c>
      <x:c r="E12" s="14" t="n">
        <x:v>86</x:v>
      </x:c>
      <x:c r="F12" s="14" t="n">
        <x:v>36</x:v>
      </x:c>
      <x:c r="G12" s="14" t="str">
        <x:v>Button</x:v>
      </x:c>
      <x:c r="H12" s="14" t="str">
        <x:v>Radius 999, border #F3CFD2</x:v>
      </x:c>
      <x:c r="I12" s="14" t="str">
        <x:v>Actif si page Alertes</x:v>
      </x:c>
      <x:c r="J12" s="14" t="str">
        <x:v>Navigate Page Alertes</x:v>
      </x:c>
      <x:c r="K12" s="14" t="str">
        <x:v>NAV_Alertes</x:v>
      </x:c>
    </x:row>
    <x:row r="13">
      <x:c r="A13" s="14" t="str">
        <x:v>Bouton Glossaire</x:v>
      </x:c>
      <x:c r="B13" s="14" t="str">
        <x:v>Toutes</x:v>
      </x:c>
      <x:c r="C13" s="14" t="n">
        <x:v>1010</x:v>
      </x:c>
      <x:c r="D13" s="14" t="n">
        <x:v>20</x:v>
      </x:c>
      <x:c r="E13" s="14" t="n">
        <x:v>98</x:v>
      </x:c>
      <x:c r="F13" s="14" t="n">
        <x:v>36</x:v>
      </x:c>
      <x:c r="G13" s="14" t="str">
        <x:v>Button</x:v>
      </x:c>
      <x:c r="H13" s="14" t="str">
        <x:v>Radius 999, border #F3CFD2</x:v>
      </x:c>
      <x:c r="I13" s="14" t="str">
        <x:v>Actif si page Glossaire</x:v>
      </x:c>
      <x:c r="J13" s="14" t="str">
        <x:v>Navigate Page Glossaire</x:v>
      </x:c>
      <x:c r="K13" s="14" t="str">
        <x:v>NAV_Glossaire</x:v>
      </x:c>
    </x:row>
    <x:row r="14">
      <x:c r="A14" s="14" t="str">
        <x:v>Slicer périmètre global</x:v>
      </x:c>
      <x:c r="B14" s="14" t="str">
        <x:v>Toutes</x:v>
      </x:c>
      <x:c r="C14" s="14" t="n">
        <x:v>1220</x:v>
      </x:c>
      <x:c r="D14" s="14" t="n">
        <x:v>18</x:v>
      </x:c>
      <x:c r="E14" s="14" t="n">
        <x:v>290</x:v>
      </x:c>
      <x:c r="F14" s="14" t="n">
        <x:v>40</x:v>
      </x:c>
      <x:c r="G14" s="14" t="str">
        <x:v>Slicer dropdown</x:v>
      </x:c>
      <x:c r="H14" s="14" t="str">
        <x:v>Single select, border #E1E8F0, radius 999</x:v>
      </x:c>
      <x:c r="I14" s="14" t="str">
        <x:v>Fond blanc, texte #1C2434 12px</x:v>
      </x:c>
      <x:c r="J14" s="14" t="str">
        <x:v>Filtre global : France/Région/Agence/CA/Secteur/Mandataire</x:v>
      </x:c>
      <x:c r="K14" s="14" t="str">
        <x:v>SLICER_Global_Perimetre</x:v>
      </x:c>
    </x:row>
    <x:row r="15">
      <x:c r="A15" s="14" t="str">
        <x:v>Title zone</x:v>
      </x:c>
      <x:c r="B15" s="14" t="str">
        <x:v>Toutes pages métier</x:v>
      </x:c>
      <x:c r="C15" s="14" t="n">
        <x:v>20</x:v>
      </x:c>
      <x:c r="D15" s="14" t="n">
        <x:v>110</x:v>
      </x:c>
      <x:c r="E15" s="14" t="n">
        <x:v>1500</x:v>
      </x:c>
      <x:c r="F15" s="14" t="n">
        <x:v>132</x:v>
      </x:c>
      <x:c r="G15" s="14" t="str">
        <x:v>Rectangle + text boxes</x:v>
      </x:c>
      <x:c r="H15" s="14" t="str">
        <x:v>Dégradé bleu, radius 28px, ombre</x:v>
      </x:c>
      <x:c r="I15" s="14" t="str">
        <x:v>#073B73 -&gt; #0A4E97</x:v>
      </x:c>
      <x:c r="J15" s="14" t="str">
        <x:v>Aucune</x:v>
      </x:c>
      <x:c r="K15" s="14" t="str">
        <x:v>G01_Title_Zone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</x:cols>
  <x:sheetData>
    <x:row r="1" ht="36" customHeight="1">
      <x:c r="A1" s="6" t="str">
        <x:v>Page</x:v>
      </x:c>
      <x:c r="B1" s="6" t="str">
        <x:v>Objet</x:v>
      </x:c>
      <x:c r="C1" s="6" t="str">
        <x:v>X</x:v>
      </x:c>
      <x:c r="D1" s="6" t="str">
        <x:v>Y</x:v>
      </x:c>
      <x:c r="E1" s="6" t="str">
        <x:v>W</x:v>
      </x:c>
      <x:c r="F1" s="6" t="str">
        <x:v>H</x:v>
      </x:c>
      <x:c r="G1" s="6" t="str">
        <x:v>Type</x:v>
      </x:c>
      <x:c r="H1" s="6" t="str">
        <x:v>Paramètre / Champ</x:v>
      </x:c>
      <x:c r="I1" s="6" t="str">
        <x:v>Valeurs</x:v>
      </x:c>
      <x:c r="J1" s="6" t="str">
        <x:v>Style</x:v>
      </x:c>
      <x:c r="K1" s="6" t="str">
        <x:v>Couleur</x:v>
      </x:c>
      <x:c r="L1" s="6" t="str">
        <x:v>Interaction</x:v>
      </x:c>
      <x:c r="M1" s="6" t="str">
        <x:v>Groupe</x:v>
      </x:c>
    </x:row>
    <x:row r="2">
      <x:c r="A2" s="14" t="str">
        <x:v>Toutes</x:v>
      </x:c>
      <x:c r="B2" s="14" t="str">
        <x:v>Slicer périmètre global header</x:v>
      </x:c>
      <x:c r="C2" s="14" t="n">
        <x:v>1220</x:v>
      </x:c>
      <x:c r="D2" s="14" t="n">
        <x:v>18</x:v>
      </x:c>
      <x:c r="E2" s="14" t="n">
        <x:v>290</x:v>
      </x:c>
      <x:c r="F2" s="14" t="n">
        <x:v>40</x:v>
      </x:c>
      <x:c r="G2" s="14" t="str">
        <x:v>Slicer dropdown</x:v>
      </x:c>
      <x:c r="H2" s="14" t="str">
        <x:v>FP_Axe_Organisation ou dimension périmètre</x:v>
      </x:c>
      <x:c r="I2" s="14" t="str">
        <x:v>France entière, Région, Agence, Centre d'affaires, Secteur, Mandataire</x:v>
      </x:c>
      <x:c r="J2" s="14" t="str">
        <x:v>Single select, dropdown, radius 999</x:v>
      </x:c>
      <x:c r="K2" s="14" t="str">
        <x:v>Fond #FFFFFF, border #E1E8F0</x:v>
      </x:c>
      <x:c r="L2" s="14" t="str">
        <x:v>Filtre toutes pages</x:v>
      </x:c>
      <x:c r="M2" s="14" t="str">
        <x:v>SLICER_Global_Perimetre</x:v>
      </x:c>
    </x:row>
    <x:row r="3">
      <x:c r="A3" s="14" t="str">
        <x:v>Accueil</x:v>
      </x:c>
      <x:c r="B3" s="14" t="str">
        <x:v>Période switch</x:v>
      </x:c>
      <x:c r="C3" s="14" t="n">
        <x:v>20</x:v>
      </x:c>
      <x:c r="D3" s="14" t="n">
        <x:v>260</x:v>
      </x:c>
      <x:c r="E3" s="14" t="n">
        <x:v>440</x:v>
      </x:c>
      <x:c r="F3" s="14" t="n">
        <x:v>40</x:v>
      </x:c>
      <x:c r="G3" s="14" t="str">
        <x:v>Boutons slicer ou bookmarks</x:v>
      </x:c>
      <x:c r="H3" s="14" t="str">
        <x:v>Dim_Date[Granularité]</x:v>
      </x:c>
      <x:c r="I3" s="14" t="str">
        <x:v>Jour, Semaine, Mois, Trimestre, Année</x:v>
      </x:c>
      <x:c r="J3" s="14" t="str">
        <x:v>Pills horizontales gap 8px</x:v>
      </x:c>
      <x:c r="K3" s="14" t="str">
        <x:v>Actif #D71920 ; inactif #FFFFFF</x:v>
      </x:c>
      <x:c r="L3" s="14" t="str">
        <x:v>Change niveau temporel</x:v>
      </x:c>
      <x:c r="M3" s="14" t="str">
        <x:v>SLICER_Accueil_Periode</x:v>
      </x:c>
    </x:row>
    <x:row r="4">
      <x:c r="A4" s="14" t="str">
        <x:v>Accueil</x:v>
      </x:c>
      <x:c r="B4" s="14" t="str">
        <x:v>Axe Organisation</x:v>
      </x:c>
      <x:c r="C4" s="14" t="n">
        <x:v>1060</x:v>
      </x:c>
      <x:c r="D4" s="14" t="n">
        <x:v>260</x:v>
      </x:c>
      <x:c r="E4" s="14" t="n">
        <x:v>210</x:v>
      </x:c>
      <x:c r="F4" s="14" t="n">
        <x:v>40</x:v>
      </x:c>
      <x:c r="G4" s="14" t="str">
        <x:v>Field parameter slicer</x:v>
      </x:c>
      <x:c r="H4" s="14" t="str">
        <x:v>FP_Axe_Organisation</x:v>
      </x:c>
      <x:c r="I4" s="14" t="str">
        <x:v>Agence, CA, Région, Secteur, Mandataire</x:v>
      </x:c>
      <x:c r="J4" s="14" t="str">
        <x:v>Dropdown/pill</x:v>
      </x:c>
      <x:c r="K4" s="14" t="str">
        <x:v>Fond blanc, border #E1E8F0</x:v>
      </x:c>
      <x:c r="L4" s="14" t="str">
        <x:v>Change axe visuels</x:v>
      </x:c>
      <x:c r="M4" s="14" t="str">
        <x:v>FP_Accueil_Organisation</x:v>
      </x:c>
    </x:row>
    <x:row r="5">
      <x:c r="A5" s="14" t="str">
        <x:v>Accueil</x:v>
      </x:c>
      <x:c r="B5" s="14" t="str">
        <x:v>Axe Activité</x:v>
      </x:c>
      <x:c r="C5" s="14" t="n">
        <x:v>1290</x:v>
      </x:c>
      <x:c r="D5" s="14" t="n">
        <x:v>260</x:v>
      </x:c>
      <x:c r="E5" s="14" t="n">
        <x:v>230</x:v>
      </x:c>
      <x:c r="F5" s="14" t="n">
        <x:v>40</x:v>
      </x:c>
      <x:c r="G5" s="14" t="str">
        <x:v>Field parameter slicer</x:v>
      </x:c>
      <x:c r="H5" s="14" t="str">
        <x:v>FP_Axe_Activite</x:v>
      </x:c>
      <x:c r="I5" s="14" t="str">
        <x:v>Type RDV, Canal, Statut, Motif</x:v>
      </x:c>
      <x:c r="J5" s="14" t="str">
        <x:v>Dropdown/pill</x:v>
      </x:c>
      <x:c r="K5" s="14" t="str">
        <x:v>Fond blanc, border #E1E8F0</x:v>
      </x:c>
      <x:c r="L5" s="14" t="str">
        <x:v>Change axe RDV</x:v>
      </x:c>
      <x:c r="M5" s="14" t="str">
        <x:v>FP_Accueil_Activite</x:v>
      </x:c>
    </x:row>
    <x:row r="6">
      <x:c r="A6" s="14" t="str">
        <x:v>Performance</x:v>
      </x:c>
      <x:c r="B6" s="14" t="str">
        <x:v>Metric parameter</x:v>
      </x:c>
      <x:c r="C6" s="14" t="n">
        <x:v>20</x:v>
      </x:c>
      <x:c r="D6" s="14" t="n">
        <x:v>260</x:v>
      </x:c>
      <x:c r="E6" s="14" t="n">
        <x:v>950</x:v>
      </x:c>
      <x:c r="F6" s="14" t="n">
        <x:v>40</x:v>
      </x:c>
      <x:c r="G6" s="14" t="str">
        <x:v>Field parameter boutons</x:v>
      </x:c>
      <x:c r="H6" s="14" t="str">
        <x:v>FP_Metric_Performance</x:v>
      </x:c>
      <x:c r="I6" s="14" t="str">
        <x:v>Volume produit, instance, commissionné, rétro moyenne, taux budget</x:v>
      </x:c>
      <x:c r="J6" s="14" t="str">
        <x:v>Pills, active red</x:v>
      </x:c>
      <x:c r="K6" s="14" t="str">
        <x:v>Actif #D71920, texte blanc</x:v>
      </x:c>
      <x:c r="L6" s="14" t="str">
        <x:v>Change mesure du ranking</x:v>
      </x:c>
      <x:c r="M6" s="14" t="str">
        <x:v>FP_Performance_Metric</x:v>
      </x:c>
    </x:row>
    <x:row r="7">
      <x:c r="A7" s="14" t="str">
        <x:v>Performance</x:v>
      </x:c>
      <x:c r="B7" s="14" t="str">
        <x:v>Axe Organisation</x:v>
      </x:c>
      <x:c r="C7" s="14" t="n">
        <x:v>1240</x:v>
      </x:c>
      <x:c r="D7" s="14" t="n">
        <x:v>260</x:v>
      </x:c>
      <x:c r="E7" s="14" t="n">
        <x:v>280</x:v>
      </x:c>
      <x:c r="F7" s="14" t="n">
        <x:v>40</x:v>
      </x:c>
      <x:c r="G7" s="14" t="str">
        <x:v>Field parameter slicer</x:v>
      </x:c>
      <x:c r="H7" s="14" t="str">
        <x:v>FP_Axe_Organisation</x:v>
      </x:c>
      <x:c r="I7" s="14" t="str">
        <x:v>Agence, Région, CA, Secteur, Mandataire</x:v>
      </x:c>
      <x:c r="J7" s="14" t="str">
        <x:v>Dropdown</x:v>
      </x:c>
      <x:c r="K7" s="14" t="str">
        <x:v>Fond blanc</x:v>
      </x:c>
      <x:c r="L7" s="14" t="str">
        <x:v>Change axe bar chart</x:v>
      </x:c>
      <x:c r="M7" s="14" t="str">
        <x:v>FP_Performance_Org</x:v>
      </x:c>
    </x:row>
    <x:row r="8">
      <x:c r="A8" s="14" t="str">
        <x:v>Affaires</x:v>
      </x:c>
      <x:c r="B8" s="14" t="str">
        <x:v>Axe Affaires</x:v>
      </x:c>
      <x:c r="C8" s="14" t="n">
        <x:v>20</x:v>
      </x:c>
      <x:c r="D8" s="14" t="n">
        <x:v>260</x:v>
      </x:c>
      <x:c r="E8" s="14" t="n">
        <x:v>600</x:v>
      </x:c>
      <x:c r="F8" s="14" t="n">
        <x:v>40</x:v>
      </x:c>
      <x:c r="G8" s="14" t="str">
        <x:v>Field parameter boutons</x:v>
      </x:c>
      <x:c r="H8" s="14" t="str">
        <x:v>FP_Axe_Affaires</x:v>
      </x:c>
      <x:c r="I8" s="14" t="str">
        <x:v>Agence, Centre d'affaires, Région, Secteur, Mandataire</x:v>
      </x:c>
      <x:c r="J8" s="14" t="str">
        <x:v>Pills</x:v>
      </x:c>
      <x:c r="K8" s="14" t="str">
        <x:v>Actif #D71920</x:v>
      </x:c>
      <x:c r="L8" s="14" t="str">
        <x:v>Change axes affaires</x:v>
      </x:c>
      <x:c r="M8" s="14" t="str">
        <x:v>FP_Affaires_Axe</x:v>
      </x:c>
    </x:row>
    <x:row r="9">
      <x:c r="A9" s="14" t="str">
        <x:v>Affaires</x:v>
      </x:c>
      <x:c r="B9" s="14" t="str">
        <x:v>Mois référence</x:v>
      </x:c>
      <x:c r="C9" s="14" t="n">
        <x:v>840</x:v>
      </x:c>
      <x:c r="D9" s="14" t="n">
        <x:v>260</x:v>
      </x:c>
      <x:c r="E9" s="14" t="n">
        <x:v>210</x:v>
      </x:c>
      <x:c r="F9" s="14" t="n">
        <x:v>40</x:v>
      </x:c>
      <x:c r="G9" s="14" t="str">
        <x:v>Slicer dropdown</x:v>
      </x:c>
      <x:c r="H9" s="14" t="str">
        <x:v>Mois_Reference[Mois]</x:v>
      </x:c>
      <x:c r="I9" s="14" t="str">
        <x:v>Janvier...Décembre</x:v>
      </x:c>
      <x:c r="J9" s="14" t="str">
        <x:v>Dropdown radius 999</x:v>
      </x:c>
      <x:c r="K9" s="14" t="str">
        <x:v>Fond blanc</x:v>
      </x:c>
      <x:c r="L9" s="14" t="str">
        <x:v>Contrôle calcul M1</x:v>
      </x:c>
      <x:c r="M9" s="14" t="str">
        <x:v>SLICER_Affaires_MoisRef</x:v>
      </x:c>
    </x:row>
    <x:row r="10">
      <x:c r="A10" s="14" t="str">
        <x:v>Affaires</x:v>
      </x:c>
      <x:c r="B10" s="14" t="str">
        <x:v>Mois comparé</x:v>
      </x:c>
      <x:c r="C10" s="14" t="n">
        <x:v>1060</x:v>
      </x:c>
      <x:c r="D10" s="14" t="n">
        <x:v>260</x:v>
      </x:c>
      <x:c r="E10" s="14" t="n">
        <x:v>210</x:v>
      </x:c>
      <x:c r="F10" s="14" t="n">
        <x:v>40</x:v>
      </x:c>
      <x:c r="G10" s="14" t="str">
        <x:v>Slicer dropdown</x:v>
      </x:c>
      <x:c r="H10" s="14" t="str">
        <x:v>Mois_Compare[Mois]</x:v>
      </x:c>
      <x:c r="I10" s="14" t="str">
        <x:v>Janvier...Décembre</x:v>
      </x:c>
      <x:c r="J10" s="14" t="str">
        <x:v>Dropdown radius 999</x:v>
      </x:c>
      <x:c r="K10" s="14" t="str">
        <x:v>Fond blanc</x:v>
      </x:c>
      <x:c r="L10" s="14" t="str">
        <x:v>Contrôle calcul M2</x:v>
      </x:c>
      <x:c r="M10" s="14" t="str">
        <x:v>SLICER_Affaires_MoisComp</x:v>
      </x:c>
    </x:row>
    <x:row r="11">
      <x:c r="A11" s="14" t="str">
        <x:v>Affaires</x:v>
      </x:c>
      <x:c r="B11" s="14" t="str">
        <x:v>Filtre Région/Agence/Mandataire</x:v>
      </x:c>
      <x:c r="C11" s="14" t="n">
        <x:v>1280</x:v>
      </x:c>
      <x:c r="D11" s="14" t="n">
        <x:v>260</x:v>
      </x:c>
      <x:c r="E11" s="14" t="n">
        <x:v>240</x:v>
      </x:c>
      <x:c r="F11" s="14" t="n">
        <x:v>40</x:v>
      </x:c>
      <x:c r="G11" s="14" t="str">
        <x:v>Slicer dropdown</x:v>
      </x:c>
      <x:c r="H11" s="14" t="str">
        <x:v>Dim organisation</x:v>
      </x:c>
      <x:c r="I11" s="14" t="str">
        <x:v>Région, Agence, Mandataire</x:v>
      </x:c>
      <x:c r="J11" s="14" t="str">
        <x:v>Dropdown</x:v>
      </x:c>
      <x:c r="K11" s="14" t="str">
        <x:v>Fond blanc</x:v>
      </x:c>
      <x:c r="L11" s="14" t="str">
        <x:v>Filtre page</x:v>
      </x:c>
      <x:c r="M11" s="14" t="str">
        <x:v>SLICER_Affaires_Org</x:v>
      </x:c>
    </x:row>
    <x:row r="12">
      <x:c r="A12" s="14" t="str">
        <x:v>Réseau MIA</x:v>
      </x:c>
      <x:c r="B12" s="14" t="str">
        <x:v>Axe Réseau</x:v>
      </x:c>
      <x:c r="C12" s="14" t="n">
        <x:v>20</x:v>
      </x:c>
      <x:c r="D12" s="14" t="n">
        <x:v>260</x:v>
      </x:c>
      <x:c r="E12" s="14" t="n">
        <x:v>520</x:v>
      </x:c>
      <x:c r="F12" s="14" t="n">
        <x:v>40</x:v>
      </x:c>
      <x:c r="G12" s="14" t="str">
        <x:v>Field parameter boutons</x:v>
      </x:c>
      <x:c r="H12" s="14" t="str">
        <x:v>FP_Axe_Reseau</x:v>
      </x:c>
      <x:c r="I12" s="14" t="str">
        <x:v>Région, Agence, Centre d'affaires, Raison sociale</x:v>
      </x:c>
      <x:c r="J12" s="14" t="str">
        <x:v>Pills</x:v>
      </x:c>
      <x:c r="K12" s="14" t="str">
        <x:v>Actif #D71920</x:v>
      </x:c>
      <x:c r="L12" s="14" t="str">
        <x:v>Change axe réseau</x:v>
      </x:c>
      <x:c r="M12" s="14" t="str">
        <x:v>FP_Reseau_Axe</x:v>
      </x:c>
    </x:row>
    <x:row r="13">
      <x:c r="A13" s="14" t="str">
        <x:v>Réseau MIA</x:v>
      </x:c>
      <x:c r="B13" s="14" t="str">
        <x:v>Filtre organisation réseau</x:v>
      </x:c>
      <x:c r="C13" s="14" t="n">
        <x:v>1040</x:v>
      </x:c>
      <x:c r="D13" s="14" t="n">
        <x:v>260</x:v>
      </x:c>
      <x:c r="E13" s="14" t="n">
        <x:v>260</x:v>
      </x:c>
      <x:c r="F13" s="14" t="n">
        <x:v>40</x:v>
      </x:c>
      <x:c r="G13" s="14" t="str">
        <x:v>Slicer dropdown</x:v>
      </x:c>
      <x:c r="H13" s="14" t="str">
        <x:v>Dim organisation</x:v>
      </x:c>
      <x:c r="I13" s="14" t="str">
        <x:v>Région, Agence, Centre d'affaires, Raison sociale</x:v>
      </x:c>
      <x:c r="J13" s="14" t="str">
        <x:v>Dropdown</x:v>
      </x:c>
      <x:c r="K13" s="14" t="str">
        <x:v>Fond blanc</x:v>
      </x:c>
      <x:c r="L13" s="14" t="str">
        <x:v>Filtre page</x:v>
      </x:c>
      <x:c r="M13" s="14" t="str">
        <x:v>SLICER_Reseau_Org</x:v>
      </x:c>
    </x:row>
    <x:row r="14">
      <x:c r="A14" s="14" t="str">
        <x:v>Réseau MIA</x:v>
      </x:c>
      <x:c r="B14" s="14" t="str">
        <x:v>Bouton Afficher tableau</x:v>
      </x:c>
      <x:c r="C14" s="14" t="n">
        <x:v>1320</x:v>
      </x:c>
      <x:c r="D14" s="14" t="n">
        <x:v>260</x:v>
      </x:c>
      <x:c r="E14" s="14" t="n">
        <x:v>200</x:v>
      </x:c>
      <x:c r="F14" s="14" t="n">
        <x:v>40</x:v>
      </x:c>
      <x:c r="G14" s="14" t="str">
        <x:v>Button bookmark</x:v>
      </x:c>
      <x:c r="H14" s="14" t="str">
        <x:v>BM_Reseau_Table_Ouverte/Fermee</x:v>
      </x:c>
      <x:c r="I14" s="14" t="str">
        <x:v>Afficher / Masquer</x:v>
      </x:c>
      <x:c r="J14" s="14" t="str">
        <x:v>Pill rouge</x:v>
      </x:c>
      <x:c r="K14" s="14" t="str">
        <x:v>#D71920 texte blanc</x:v>
      </x:c>
      <x:c r="L14" s="14" t="str">
        <x:v>Toggle tableau détaillé</x:v>
      </x:c>
      <x:c r="M14" s="14" t="str">
        <x:v>BTN_Toggle_Table_Reseau</x:v>
      </x:c>
    </x:row>
    <x:row r="15">
      <x:c r="A15" s="14" t="str">
        <x:v>Rendez-vous</x:v>
      </x:c>
      <x:c r="B15" s="14" t="str">
        <x:v>Axe RDV</x:v>
      </x:c>
      <x:c r="C15" s="14" t="n">
        <x:v>20</x:v>
      </x:c>
      <x:c r="D15" s="14" t="n">
        <x:v>260</x:v>
      </x:c>
      <x:c r="E15" s="14" t="n">
        <x:v>720</x:v>
      </x:c>
      <x:c r="F15" s="14" t="n">
        <x:v>40</x:v>
      </x:c>
      <x:c r="G15" s="14" t="str">
        <x:v>Field parameter boutons</x:v>
      </x:c>
      <x:c r="H15" s="14" t="str">
        <x:v>FP_Axe_RDV</x:v>
      </x:c>
      <x:c r="I15" s="14" t="str">
        <x:v>Type, Canal, Statut, Motif</x:v>
      </x:c>
      <x:c r="J15" s="14" t="str">
        <x:v>Pills</x:v>
      </x:c>
      <x:c r="K15" s="14" t="str">
        <x:v>Actif #D71920</x:v>
      </x:c>
      <x:c r="L15" s="14" t="str">
        <x:v>Change axe RDV</x:v>
      </x:c>
      <x:c r="M15" s="14" t="str">
        <x:v>FP_RDV_Axe</x:v>
      </x:c>
    </x:row>
    <x:row r="16">
      <x:c r="A16" s="14" t="str">
        <x:v>Rendez-vous</x:v>
      </x:c>
      <x:c r="B16" s="14" t="str">
        <x:v>Slicer type/canal/statut/motif</x:v>
      </x:c>
      <x:c r="C16" s="14" t="n">
        <x:v>1240</x:v>
      </x:c>
      <x:c r="D16" s="14" t="n">
        <x:v>260</x:v>
      </x:c>
      <x:c r="E16" s="14" t="n">
        <x:v>280</x:v>
      </x:c>
      <x:c r="F16" s="14" t="n">
        <x:v>40</x:v>
      </x:c>
      <x:c r="G16" s="14" t="str">
        <x:v>Slicer dropdown</x:v>
      </x:c>
      <x:c r="H16" s="14" t="str">
        <x:v>Dim RDV</x:v>
      </x:c>
      <x:c r="I16" s="14" t="str">
        <x:v>Type, Canal, Statut, Motif</x:v>
      </x:c>
      <x:c r="J16" s="14" t="str">
        <x:v>Dropdown</x:v>
      </x:c>
      <x:c r="K16" s="14" t="str">
        <x:v>Fond blanc</x:v>
      </x:c>
      <x:c r="L16" s="14" t="str">
        <x:v>Filtre page</x:v>
      </x:c>
      <x:c r="M16" s="14" t="str">
        <x:v>SLICER_RDV_Detail</x:v>
      </x:c>
    </x:row>
    <x:row r="17">
      <x:c r="A17" s="14" t="str">
        <x:v>Alertes</x:v>
      </x:c>
      <x:c r="B17" s="14" t="str">
        <x:v>Filtre niveau alerte</x:v>
      </x:c>
      <x:c r="C17" s="14" t="n">
        <x:v>1180</x:v>
      </x:c>
      <x:c r="D17" s="14" t="n">
        <x:v>260</x:v>
      </x:c>
      <x:c r="E17" s="14" t="n">
        <x:v>340</x:v>
      </x:c>
      <x:c r="F17" s="14" t="n">
        <x:v>40</x:v>
      </x:c>
      <x:c r="G17" s="14" t="str">
        <x:v>Slicer/chiclet</x:v>
      </x:c>
      <x:c r="H17" s="14" t="str">
        <x:v>fact_alertes[niveau_priorite]</x:v>
      </x:c>
      <x:c r="I17" s="14" t="str">
        <x:v>CRITIQUE, HAUTE, MOYENNE, INFO</x:v>
      </x:c>
      <x:c r="J17" s="14" t="str">
        <x:v>Chiclet</x:v>
      </x:c>
      <x:c r="K17" s="14" t="str">
        <x:v>Critique #D71920, Haute #E67E22</x:v>
      </x:c>
      <x:c r="L17" s="14" t="str">
        <x:v>Filtre page</x:v>
      </x:c>
      <x:c r="M17" s="14" t="str">
        <x:v>SLICER_Alertes_Niveau</x:v>
      </x:c>
    </x:row>
    <x:row r="18">
      <x:c r="A18" s="14" t="str">
        <x:v>Glossaire</x:v>
      </x:c>
      <x:c r="B18" s="14" t="str">
        <x:v>Recherche KPI</x:v>
      </x:c>
      <x:c r="C18" s="14" t="n">
        <x:v>1180</x:v>
      </x:c>
      <x:c r="D18" s="14" t="n">
        <x:v>260</x:v>
      </x:c>
      <x:c r="E18" s="14" t="n">
        <x:v>340</x:v>
      </x:c>
      <x:c r="F18" s="14" t="n">
        <x:v>40</x:v>
      </x:c>
      <x:c r="G18" s="14" t="str">
        <x:v>Text filter / slicer</x:v>
      </x:c>
      <x:c r="H18" s="14" t="str">
        <x:v>Table_Glossaire[Indicateur]</x:v>
      </x:c>
      <x:c r="I18" s="14" t="str">
        <x:v>KPI</x:v>
      </x:c>
      <x:c r="J18" s="14" t="str">
        <x:v>Search dropdown</x:v>
      </x:c>
      <x:c r="K18" s="14" t="str">
        <x:v>Fond blanc</x:v>
      </x:c>
      <x:c r="L18" s="14" t="str">
        <x:v>Filtre glossaire</x:v>
      </x:c>
      <x:c r="M18" s="14" t="str">
        <x:v>SLICER_Glossaire_Search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6" customHeight="1">
      <x:c r="A1" s="6" t="str">
        <x:v>Objet interne</x:v>
      </x:c>
      <x:c r="B1" s="6" t="str">
        <x:v>X relatif</x:v>
      </x:c>
      <x:c r="C1" s="6" t="str">
        <x:v>Y relatif</x:v>
      </x:c>
      <x:c r="D1" s="6" t="str">
        <x:v>W</x:v>
      </x:c>
      <x:c r="E1" s="6" t="str">
        <x:v>H</x:v>
      </x:c>
      <x:c r="F1" s="6" t="str">
        <x:v>Type Power BI</x:v>
      </x:c>
      <x:c r="G1" s="6" t="str">
        <x:v>Style</x:v>
      </x:c>
      <x:c r="H1" s="6" t="str">
        <x:v>Couleur / Police</x:v>
      </x:c>
      <x:c r="I1" s="6" t="str">
        <x:v>Règle conditionnelle / Valeur</x:v>
      </x:c>
      <x:c r="J1" s="6" t="str">
        <x:v>Nom Selection Pane</x:v>
      </x:c>
      <x:c r="K1" s="6" t="str"/>
    </x:row>
    <x:row r="2">
      <x:c r="A2" s="14" t="str">
        <x:v>Fond carte fusionnée</x:v>
      </x:c>
      <x:c r="B2" s="14" t="n">
        <x:v>0</x:v>
      </x:c>
      <x:c r="C2" s="14" t="n">
        <x:v>0</x:v>
      </x:c>
      <x:c r="D2" s="14" t="n">
        <x:v>287</x:v>
      </x:c>
      <x:c r="E2" s="14" t="n">
        <x:v>178</x:v>
      </x:c>
      <x:c r="F2" s="14" t="str">
        <x:v>Rectangle shape</x:v>
      </x:c>
      <x:c r="G2" s="14" t="str">
        <x:v>Radius 22, border 1px, shadow douce</x:v>
      </x:c>
      <x:c r="H2" s="14" t="str">
        <x:v>Fill #FFFFFF, border #E1E8F0</x:v>
      </x:c>
      <x:c r="I2" s="14" t="str">
        <x:v>Aucune</x:v>
      </x:c>
      <x:c r="J2" s="14" t="str">
        <x:v>BG_Card</x:v>
      </x:c>
      <x:c r="K2" s="14" t="str"/>
    </x:row>
    <x:row r="3">
      <x:c r="A3" s="14" t="str">
        <x:v>Label KPI</x:v>
      </x:c>
      <x:c r="B3" s="14" t="n">
        <x:v>18</x:v>
      </x:c>
      <x:c r="C3" s="14" t="n">
        <x:v>16</x:v>
      </x:c>
      <x:c r="D3" s="14" t="n">
        <x:v>175</x:v>
      </x:c>
      <x:c r="E3" s="14" t="n">
        <x:v>30</x:v>
      </x:c>
      <x:c r="F3" s="14" t="str">
        <x:v>Text box ou Card label</x:v>
      </x:c>
      <x:c r="G3" s="14" t="str">
        <x:v>Uppercase, wrap 2 lignes max</x:v>
      </x:c>
      <x:c r="H3" s="14" t="str">
        <x:v>Inter 11px bold #667085</x:v>
      </x:c>
      <x:c r="I3" s="14" t="str">
        <x:v>Statique ou label mesure</x:v>
      </x:c>
      <x:c r="J3" s="14" t="str">
        <x:v>TXT_Label</x:v>
      </x:c>
      <x:c r="K3" s="14" t="str"/>
    </x:row>
    <x:row r="4">
      <x:c r="A4" s="14" t="str">
        <x:v>Icone</x:v>
      </x:c>
      <x:c r="B4" s="14" t="n">
        <x:v>225</x:v>
      </x:c>
      <x:c r="C4" s="14" t="n">
        <x:v>16</x:v>
      </x:c>
      <x:c r="D4" s="14" t="n">
        <x:v>44</x:v>
      </x:c>
      <x:c r="E4" s="14" t="n">
        <x:v>44</x:v>
      </x:c>
      <x:c r="F4" s="14" t="str">
        <x:v>Shape carré arrondi + texte/icon</x:v>
      </x:c>
      <x:c r="G4" s="14" t="str">
        <x:v>Radius 14, centré</x:v>
      </x:c>
      <x:c r="H4" s="14" t="str">
        <x:v>Fill #EAF3FF, icône #0A4E97</x:v>
      </x:c>
      <x:c r="I4" s="14" t="str">
        <x:v>Couleur peut changer selon domaine</x:v>
      </x:c>
      <x:c r="J4" s="14" t="str">
        <x:v>ICON_KPI</x:v>
      </x:c>
      <x:c r="K4" s="14" t="str"/>
    </x:row>
    <x:row r="5">
      <x:c r="A5" s="14" t="str">
        <x:v>Valeur KPI</x:v>
      </x:c>
      <x:c r="B5" s="14" t="n">
        <x:v>18</x:v>
      </x:c>
      <x:c r="C5" s="14" t="n">
        <x:v>52</x:v>
      </x:c>
      <x:c r="D5" s="14" t="n">
        <x:v>176</x:v>
      </x:c>
      <x:c r="E5" s="14" t="n">
        <x:v>38</x:v>
      </x:c>
      <x:c r="F5" s="14" t="str">
        <x:v>Card visual</x:v>
      </x:c>
      <x:c r="G5" s="14" t="str">
        <x:v>No category label, callout 29px</x:v>
      </x:c>
      <x:c r="H5" s="14" t="str">
        <x:v>Inter 29px black #1C2434</x:v>
      </x:c>
      <x:c r="I5" s="14" t="str">
        <x:v>Format dynamique K/M/€/%</x:v>
      </x:c>
      <x:c r="J5" s="14" t="str">
        <x:v>VIS_KPI_Value</x:v>
      </x:c>
      <x:c r="K5" s="14" t="str"/>
    </x:row>
    <x:row r="6">
      <x:c r="A6" s="14" t="str">
        <x:v>Badge Excel KPI</x:v>
      </x:c>
      <x:c r="B6" s="14" t="n">
        <x:v>18</x:v>
      </x:c>
      <x:c r="C6" s="14" t="n">
        <x:v>92</x:v>
      </x:c>
      <x:c r="D6" s="14" t="n">
        <x:v>118</x:v>
      </x:c>
      <x:c r="E6" s="14" t="n">
        <x:v>20</x:v>
      </x:c>
      <x:c r="F6" s="14" t="str">
        <x:v>Text box / shape</x:v>
      </x:c>
      <x:c r="G6" s="14" t="str">
        <x:v>Pill radius 999</x:v>
      </x:c>
      <x:c r="H6" s="14" t="str">
        <x:v>Fill #EAF3FF, text #0A4E97 8px bold</x:v>
      </x:c>
      <x:c r="I6" s="14" t="str">
        <x:v>Ex : Excel G.3</x:v>
      </x:c>
      <x:c r="J6" s="14" t="str">
        <x:v>BADGE_Excel</x:v>
      </x:c>
      <x:c r="K6" s="14" t="str"/>
    </x:row>
    <x:row r="7">
      <x:c r="A7" s="14" t="str">
        <x:v>Badge BIM</x:v>
      </x:c>
      <x:c r="B7" s="14" t="n">
        <x:v>142</x:v>
      </x:c>
      <x:c r="C7" s="14" t="n">
        <x:v>92</x:v>
      </x:c>
      <x:c r="D7" s="14" t="n">
        <x:v>127</x:v>
      </x:c>
      <x:c r="E7" s="14" t="n">
        <x:v>20</x:v>
      </x:c>
      <x:c r="F7" s="14" t="str">
        <x:v>Text box / shape</x:v>
      </x:c>
      <x:c r="G7" s="14" t="str">
        <x:v>Pill radius 999</x:v>
      </x:c>
      <x:c r="H7" s="14" t="str">
        <x:v>OK=vert, partiel=orange, absent=rouge</x:v>
      </x:c>
      <x:c r="I7" s="14" t="str">
        <x:v>Inter 8px bold</x:v>
      </x:c>
      <x:c r="J7" s="14" t="str">
        <x:v>Texte : BIM OK / BIM absent / BIM partiel</x:v>
      </x:c>
      <x:c r="K7" s="14" t="str">
        <x:v>BADGE_BIM</x:v>
      </x:c>
    </x:row>
    <x:row r="8">
      <x:c r="A8" s="14" t="str">
        <x:v>Chip Vs N-1</x:v>
      </x:c>
      <x:c r="B8" s="14" t="n">
        <x:v>18</x:v>
      </x:c>
      <x:c r="C8" s="14" t="n">
        <x:v>118</x:v>
      </x:c>
      <x:c r="D8" s="14" t="n">
        <x:v>80</x:v>
      </x:c>
      <x:c r="E8" s="14" t="n">
        <x:v>24</x:v>
      </x:c>
      <x:c r="F8" s="14" t="str">
        <x:v>Card / text + shape</x:v>
      </x:c>
      <x:c r="G8" s="14" t="str">
        <x:v>Pill radius 999</x:v>
      </x:c>
      <x:c r="H8" s="14" t="str">
        <x:v>Vert/Orange/Rouge soft</x:v>
      </x:c>
      <x:c r="I8" s="14" t="str">
        <x:v>&gt;=0 vert ; &lt;0 rouge ; blank bleu</x:v>
      </x:c>
      <x:c r="J8" s="14" t="str">
        <x:v>CHIP_Vs_N1</x:v>
      </x:c>
      <x:c r="K8" s="14" t="str"/>
    </x:row>
    <x:row r="9">
      <x:c r="A9" s="14" t="str">
        <x:v>Chip Vs MTD-1</x:v>
      </x:c>
      <x:c r="B9" s="14" t="n">
        <x:v>104</x:v>
      </x:c>
      <x:c r="C9" s="14" t="n">
        <x:v>118</x:v>
      </x:c>
      <x:c r="D9" s="14" t="n">
        <x:v>88</x:v>
      </x:c>
      <x:c r="E9" s="14" t="n">
        <x:v>24</x:v>
      </x:c>
      <x:c r="F9" s="14" t="str">
        <x:v>Card / text + shape</x:v>
      </x:c>
      <x:c r="G9" s="14" t="str">
        <x:v>Pill radius 999</x:v>
      </x:c>
      <x:c r="H9" s="14" t="str">
        <x:v>Vert/Orange/Rouge soft</x:v>
      </x:c>
      <x:c r="I9" s="14" t="str">
        <x:v>&gt;=0 vert ; &lt;0 rouge ; blank bleu</x:v>
      </x:c>
      <x:c r="J9" s="14" t="str">
        <x:v>CHIP_Vs_MTD1</x:v>
      </x:c>
      <x:c r="K9" s="14" t="str"/>
    </x:row>
    <x:row r="10">
      <x:c r="A10" s="14" t="str">
        <x:v>Sparkline exercice</x:v>
      </x:c>
      <x:c r="B10" s="14" t="n">
        <x:v>202</x:v>
      </x:c>
      <x:c r="C10" s="14" t="n">
        <x:v>112</x:v>
      </x:c>
      <x:c r="D10" s="14" t="n">
        <x:v>67</x:v>
      </x:c>
      <x:c r="E10" s="14" t="n">
        <x:v>33</x:v>
      </x:c>
      <x:c r="F10" s="14" t="str">
        <x:v>Line chart ou Sparkline custom</x:v>
      </x:c>
      <x:c r="G10" s="14" t="str">
        <x:v>Sans axes, sans titre, stroke 2px</x:v>
      </x:c>
      <x:c r="H10" s="14" t="str">
        <x:v>Line #0A4E97 ou conditionnel</x:v>
      </x:c>
      <x:c r="I10" s="14" t="str">
        <x:v>Tendance sur exercice / période</x:v>
      </x:c>
      <x:c r="J10" s="14" t="str">
        <x:v>SPARK_KPI</x:v>
      </x:c>
      <x:c r="K10" s="14" t="str"/>
    </x:row>
    <x:row r="11">
      <x:c r="A11" s="14" t="str">
        <x:v>Libellé Budget</x:v>
      </x:c>
      <x:c r="B11" s="14" t="n">
        <x:v>18</x:v>
      </x:c>
      <x:c r="C11" s="14" t="n">
        <x:v>148</x:v>
      </x:c>
      <x:c r="D11" s="14" t="n">
        <x:v>251</x:v>
      </x:c>
      <x:c r="E11" s="14" t="n">
        <x:v>10</x:v>
      </x:c>
      <x:c r="F11" s="14" t="str">
        <x:v>Text box</x:v>
      </x:c>
      <x:c r="G11" s="14" t="str">
        <x:v>Uppercase 8.5px</x:v>
      </x:c>
      <x:c r="H11" s="14" t="str">
        <x:v>#667085</x:v>
      </x:c>
      <x:c r="I11" s="14" t="str">
        <x:v>Afficher seulement si budget applicable</x:v>
      </x:c>
      <x:c r="J11" s="14" t="str">
        <x:v>TXT_Budget_Label</x:v>
      </x:c>
      <x:c r="K11" s="14" t="str"/>
    </x:row>
    <x:row r="12">
      <x:c r="A12" s="14" t="str">
        <x:v>Track Budget</x:v>
      </x:c>
      <x:c r="B12" s="14" t="n">
        <x:v>18</x:v>
      </x:c>
      <x:c r="C12" s="14" t="n">
        <x:v>162</x:v>
      </x:c>
      <x:c r="D12" s="14" t="n">
        <x:v>251</x:v>
      </x:c>
      <x:c r="E12" s="14" t="n">
        <x:v>8</x:v>
      </x:c>
      <x:c r="F12" s="14" t="str">
        <x:v>Rectangle shape</x:v>
      </x:c>
      <x:c r="G12" s="14" t="str">
        <x:v>Radius 999</x:v>
      </x:c>
      <x:c r="H12" s="14" t="str">
        <x:v>Fill #E8EEF5</x:v>
      </x:c>
      <x:c r="I12" s="14" t="str">
        <x:v>Toujours visible si budget</x:v>
      </x:c>
      <x:c r="J12" s="14" t="str">
        <x:v>BG_Budget_Track</x:v>
      </x:c>
      <x:c r="K12" s="14" t="str"/>
    </x:row>
    <x:row r="13">
      <x:c r="A13" s="14" t="str">
        <x:v>Fill Budget</x:v>
      </x:c>
      <x:c r="B13" s="14" t="n">
        <x:v>18</x:v>
      </x:c>
      <x:c r="C13" s="14" t="n">
        <x:v>162</x:v>
      </x:c>
      <x:c r="D13" s="14" t="str">
        <x:v>Taux*251</x:v>
      </x:c>
      <x:c r="E13" s="14" t="n">
        <x:v>8</x:v>
      </x:c>
      <x:c r="F13" s="14" t="str">
        <x:v>Bar/shape ou data bar</x:v>
      </x:c>
      <x:c r="G13" s="14" t="str">
        <x:v>Radius 999</x:v>
      </x:c>
      <x:c r="H13" s="14" t="str">
        <x:v>Vert/orange/rouge selon taux</x:v>
      </x:c>
      <x:c r="I13" s="14" t="str">
        <x:v>&gt;=100 #198754 ; 85-99 #E67E22 ; &lt;85 #D71920</x:v>
      </x:c>
      <x:c r="J13" s="14" t="str">
        <x:v>[Taux atteinte budget]</x:v>
      </x:c>
      <x:c r="K13" s="14" t="str">
        <x:v>FILL_Budget</x:v>
      </x:c>
    </x:row>
    <x:row r="14">
      <x:c r="A14" s="14" t="str">
        <x:v>Marqueur 100%</x:v>
      </x:c>
      <x:c r="B14" s="14" t="n">
        <x:v>269</x:v>
      </x:c>
      <x:c r="C14" s="14" t="n">
        <x:v>158</x:v>
      </x:c>
      <x:c r="D14" s="14" t="n">
        <x:v>3</x:v>
      </x:c>
      <x:c r="E14" s="14" t="n">
        <x:v>16</x:v>
      </x:c>
      <x:c r="F14" s="14" t="str">
        <x:v>Rectangle shape</x:v>
      </x:c>
      <x:c r="G14" s="14" t="str">
        <x:v>Vertical</x:v>
      </x:c>
      <x:c r="H14" s="14" t="str">
        <x:v>#D71920</x:v>
      </x:c>
      <x:c r="I14" s="14" t="str">
        <x:v>Position fixe à 100%</x:v>
      </x:c>
      <x:c r="J14" s="14" t="str">
        <x:v>MARKER_Budget_100</x:v>
      </x:c>
      <x:c r="K14" s="14" t="str"/>
    </x:row>
    <x:row r="15">
      <x:c r="A15" s="14" t="str">
        <x:v>Tooltip invisible</x:v>
      </x:c>
      <x:c r="B15" s="14" t="n">
        <x:v>0</x:v>
      </x:c>
      <x:c r="C15" s="14" t="n">
        <x:v>0</x:v>
      </x:c>
      <x:c r="D15" s="14" t="n">
        <x:v>287</x:v>
      </x:c>
      <x:c r="E15" s="14" t="n">
        <x:v>178</x:v>
      </x:c>
      <x:c r="F15" s="14" t="str">
        <x:v>Tooltip page link</x:v>
      </x:c>
      <x:c r="G15" s="14" t="str">
        <x:v>Tooltip activé</x:v>
      </x:c>
      <x:c r="H15" s="14" t="str">
        <x:v>N/A</x:v>
      </x:c>
      <x:c r="I15" s="14" t="str">
        <x:v>Définition KPI + formule + source Excel + statut BIM</x:v>
      </x:c>
      <x:c r="J15" s="14" t="str">
        <x:v>TOOLTIP_KPI</x:v>
      </x:c>
      <x:c r="K15" s="14" t="str"/>
    </x:row>
    <x:row r="16">
      <x:c r="A16" s="14" t="str">
        <x:v>Groupe final</x:v>
      </x:c>
      <x:c r="B16" s="14" t="n">
        <x:v>0</x:v>
      </x:c>
      <x:c r="C16" s="14" t="n">
        <x:v>0</x:v>
      </x:c>
      <x:c r="D16" s="14" t="n">
        <x:v>287</x:v>
      </x:c>
      <x:c r="E16" s="14" t="n">
        <x:v>178</x:v>
      </x:c>
      <x:c r="F16" s="14" t="str">
        <x:v>Group</x:v>
      </x:c>
      <x:c r="G16" s="14" t="str">
        <x:v>Tous objets verrouillés ensemble</x:v>
      </x:c>
      <x:c r="H16" s="14" t="str">
        <x:v>N/A</x:v>
      </x:c>
      <x:c r="I16" s="14" t="str">
        <x:v>Nommer G_KPI_&lt;Page&gt;_&lt;Numero&gt;</x:v>
      </x:c>
      <x:c r="J16" s="14" t="str">
        <x:v>G_KPI_CARD_FULL</x:v>
      </x:c>
      <x:c r="K16" s="14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</x:cols>
  <x:sheetData>
    <x:row r="1" ht="36" customHeight="1">
      <x:c r="A1" s="6" t="str">
        <x:v>Page</x:v>
      </x:c>
      <x:c r="B1" s="6" t="str">
        <x:v>Zone</x:v>
      </x:c>
      <x:c r="C1" s="6" t="str">
        <x:v>Nom visuel</x:v>
      </x:c>
      <x:c r="D1" s="6" t="str">
        <x:v>X</x:v>
      </x:c>
      <x:c r="E1" s="6" t="str">
        <x:v>Y</x:v>
      </x:c>
      <x:c r="F1" s="6" t="str">
        <x:v>W</x:v>
      </x:c>
      <x:c r="G1" s="6" t="str">
        <x:v>H</x:v>
      </x:c>
      <x:c r="H1" s="6" t="str">
        <x:v>Type Power BI</x:v>
      </x:c>
      <x:c r="I1" s="6" t="str">
        <x:v>Mesure</x:v>
      </x:c>
      <x:c r="J1" s="6" t="str">
        <x:v>Dimension / Axe</x:v>
      </x:c>
      <x:c r="K1" s="6" t="str">
        <x:v>Mise en forme</x:v>
      </x:c>
      <x:c r="L1" s="6" t="str">
        <x:v>Couleurs</x:v>
      </x:c>
      <x:c r="M1" s="6" t="str">
        <x:v>Interactions</x:v>
      </x:c>
    </x:row>
    <x:row r="2">
      <x:c r="A2" s="14" t="str">
        <x:v>Accueil</x:v>
      </x:c>
      <x:c r="B2" s="14" t="str">
        <x:v>KPI row</x:v>
      </x:c>
      <x:c r="C2" s="14" t="str">
        <x:v>5 KPI cards fusionnées</x:v>
      </x:c>
      <x:c r="D2" s="14" t="n">
        <x:v>20</x:v>
      </x:c>
      <x:c r="E2" s="14" t="n">
        <x:v>330</x:v>
      </x:c>
      <x:c r="F2" s="14" t="n">
        <x:v>1500</x:v>
      </x:c>
      <x:c r="G2" s="14" t="n">
        <x:v>178</x:v>
      </x:c>
      <x:c r="H2" s="14" t="str">
        <x:v>Groupe shapes + card + sparkline + bar budget</x:v>
      </x:c>
      <x:c r="I2" s="14" t="str">
        <x:v>G.3, instance, commissionnées, rétro, RDV réalisés</x:v>
      </x:c>
      <x:c r="J2" s="14" t="str">
        <x:v>Période</x:v>
      </x:c>
      <x:c r="K2" s="14" t="str">
        <x:v>Template_Card_KPI</x:v>
      </x:c>
      <x:c r="L2" s="14" t="str">
        <x:v>Conditionnel</x:v>
      </x:c>
      <x:c r="M2" s="14" t="str">
        <x:v>Filtres page</x:v>
      </x:c>
    </x:row>
    <x:row r="3">
      <x:c r="A3" s="14" t="str">
        <x:v>Accueil</x:v>
      </x:c>
      <x:c r="B3" s="14" t="str">
        <x:v>Jauges</x:v>
      </x:c>
      <x:c r="C3" s="14" t="str">
        <x:v>Niveaux d'alerte Volume/RDV/Réseau</x:v>
      </x:c>
      <x:c r="D3" s="14" t="n">
        <x:v>20</x:v>
      </x:c>
      <x:c r="E3" s="14" t="n">
        <x:v>530</x:v>
      </x:c>
      <x:c r="F3" s="14" t="n">
        <x:v>1500</x:v>
      </x:c>
      <x:c r="G3" s="14" t="n">
        <x:v>132</x:v>
      </x:c>
      <x:c r="H3" s="14" t="str">
        <x:v>Donut/gauge custom</x:v>
      </x:c>
      <x:c r="I3" s="14" t="str">
        <x:v>Niveaux alerte</x:v>
      </x:c>
      <x:c r="J3" s="14" t="str">
        <x:v>KPI domaine</x:v>
      </x:c>
      <x:c r="K3" s="14" t="str">
        <x:v>Gauge 106x106 + texte</x:v>
      </x:c>
      <x:c r="L3" s="14" t="str">
        <x:v>Rouge/orange/vert conditionnel</x:v>
      </x:c>
      <x:c r="M3" s="14" t="str">
        <x:v>Tooltip KPI</x:v>
      </x:c>
    </x:row>
    <x:row r="4">
      <x:c r="A4" s="14" t="str">
        <x:v>Accueil</x:v>
      </x:c>
      <x:c r="B4" s="14" t="str">
        <x:v>Alertes</x:v>
      </x:c>
      <x:c r="C4" s="14" t="str">
        <x:v>Liste alertes</x:v>
      </x:c>
      <x:c r="D4" s="14" t="n">
        <x:v>20</x:v>
      </x:c>
      <x:c r="E4" s="14" t="n">
        <x:v>680</x:v>
      </x:c>
      <x:c r="F4" s="14" t="n">
        <x:v>740</x:v>
      </x:c>
      <x:c r="G4" s="14" t="n">
        <x:v>320</x:v>
      </x:c>
      <x:c r="H4" s="14" t="str">
        <x:v>Multi-row card custom / table</x:v>
      </x:c>
      <x:c r="I4" s="14" t="str">
        <x:v>Nb alertes</x:v>
      </x:c>
      <x:c r="J4" s="14" t="str">
        <x:v>Niveau_priorite</x:v>
      </x:c>
      <x:c r="K4" s="14" t="str">
        <x:v>Lignes fond #F7F9FC</x:v>
      </x:c>
      <x:c r="L4" s="14" t="str">
        <x:v>Dot couleur alerte</x:v>
      </x:c>
      <x:c r="M4" s="14" t="str">
        <x:v>Filtrage possible</x:v>
      </x:c>
    </x:row>
    <x:row r="5">
      <x:c r="A5" s="14" t="str">
        <x:v>Accueil</x:v>
      </x:c>
      <x:c r="B5" s="14" t="str">
        <x:v>Reco</x:v>
      </x:c>
      <x:c r="C5" s="14" t="str">
        <x:v>Recommandation volume</x:v>
      </x:c>
      <x:c r="D5" s="14" t="n">
        <x:v>780</x:v>
      </x:c>
      <x:c r="E5" s="14" t="n">
        <x:v>680</x:v>
      </x:c>
      <x:c r="F5" s="14" t="n">
        <x:v>740</x:v>
      </x:c>
      <x:c r="G5" s="14" t="n">
        <x:v>320</x:v>
      </x:c>
      <x:c r="H5" s="14" t="str">
        <x:v>Text cards</x:v>
      </x:c>
      <x:c r="I5" s="14" t="str">
        <x:v>Recommandation Volume</x:v>
      </x:c>
      <x:c r="J5" s="14" t="str">
        <x:v>Seuil variation</x:v>
      </x:c>
      <x:c r="K5" s="14" t="str">
        <x:v>Liste 3 items</x:v>
      </x:c>
      <x:c r="L5" s="14" t="str">
        <x:v>Rouge/orange/vert</x:v>
      </x:c>
      <x:c r="M5" s="14" t="str">
        <x:v>Tooltip règle</x:v>
      </x:c>
    </x:row>
    <x:row r="6">
      <x:c r="A6" s="14" t="str">
        <x:v>Accueil</x:v>
      </x:c>
      <x:c r="B6" s="14" t="str">
        <x:v>Chart</x:v>
      </x:c>
      <x:c r="C6" s="14" t="str">
        <x:v>Évolution nombre affaires</x:v>
      </x:c>
      <x:c r="D6" s="14" t="n">
        <x:v>20</x:v>
      </x:c>
      <x:c r="E6" s="14" t="n">
        <x:v>1020</x:v>
      </x:c>
      <x:c r="F6" s="14" t="n">
        <x:v>740</x:v>
      </x:c>
      <x:c r="G6" s="14" t="n">
        <x:v>360</x:v>
      </x:c>
      <x:c r="H6" s="14" t="str">
        <x:v>Line chart</x:v>
      </x:c>
      <x:c r="I6" s="14" t="str">
        <x:v>G.2 + à confirmer</x:v>
      </x:c>
      <x:c r="J6" s="14" t="str">
        <x:v>Mois</x:v>
      </x:c>
      <x:c r="K6" s="14" t="str">
        <x:v>Axes fins, légende bas</x:v>
      </x:c>
      <x:c r="L6" s="14" t="str">
        <x:v>#0A4E97/#D71920/#E67E22</x:v>
      </x:c>
      <x:c r="M6" s="14" t="str">
        <x:v>Cross-filter</x:v>
      </x:c>
    </x:row>
    <x:row r="7">
      <x:c r="A7" s="14" t="str">
        <x:v>Accueil</x:v>
      </x:c>
      <x:c r="B7" s="14" t="str">
        <x:v>Bars</x:v>
      </x:c>
      <x:c r="C7" s="14" t="str">
        <x:v>Répartition affaires commissionnées</x:v>
      </x:c>
      <x:c r="D7" s="14" t="n">
        <x:v>780</x:v>
      </x:c>
      <x:c r="E7" s="14" t="n">
        <x:v>1020</x:v>
      </x:c>
      <x:c r="F7" s="14" t="n">
        <x:v>740</x:v>
      </x:c>
      <x:c r="G7" s="14" t="n">
        <x:v>360</x:v>
      </x:c>
      <x:c r="H7" s="14" t="str">
        <x:v>Bar chart horizontal</x:v>
      </x:c>
      <x:c r="I7" s="14" t="str">
        <x:v>Affaires commissionnées</x:v>
      </x:c>
      <x:c r="J7" s="14" t="str">
        <x:v>Gamme produit</x:v>
      </x:c>
      <x:c r="K7" s="14" t="str">
        <x:v>Track gris + fill</x:v>
      </x:c>
      <x:c r="L7" s="14" t="str">
        <x:v>Produit coloré</x:v>
      </x:c>
      <x:c r="M7" s="14" t="str">
        <x:v>Cross-filter</x:v>
      </x:c>
    </x:row>
    <x:row r="8">
      <x:c r="A8" s="14" t="str">
        <x:v>Performance</x:v>
      </x:c>
      <x:c r="B8" s="14" t="str">
        <x:v>Chart</x:v>
      </x:c>
      <x:c r="C8" s="14" t="str">
        <x:v>Réel vs Budget / ranking Performance</x:v>
      </x:c>
      <x:c r="D8" s="14" t="n">
        <x:v>20</x:v>
      </x:c>
      <x:c r="E8" s="14" t="n">
        <x:v>530</x:v>
      </x:c>
      <x:c r="F8" s="14" t="n">
        <x:v>480</x:v>
      </x:c>
      <x:c r="G8" s="14" t="n">
        <x:v>390</x:v>
      </x:c>
      <x:c r="H8" s="14" t="str">
        <x:v>Bar chart horizontal</x:v>
      </x:c>
      <x:c r="I8" s="14" t="str">
        <x:v>FP_Metric_Performance</x:v>
      </x:c>
      <x:c r="J8" s="14" t="str">
        <x:v>FP_Axe_Organisation</x:v>
      </x:c>
      <x:c r="K8" s="14" t="str">
        <x:v>Tri décroissant</x:v>
      </x:c>
      <x:c r="L8" s="14" t="str">
        <x:v>Bleu/vert/orange/rouge</x:v>
      </x:c>
      <x:c r="M8" s="14" t="str">
        <x:v>Field param</x:v>
      </x:c>
    </x:row>
    <x:row r="9">
      <x:c r="A9" s="14" t="str">
        <x:v>Performance</x:v>
      </x:c>
      <x:c r="B9" s="14" t="str">
        <x:v>Chart</x:v>
      </x:c>
      <x:c r="C9" s="14" t="str">
        <x:v>Évolution affaires</x:v>
      </x:c>
      <x:c r="D9" s="14" t="n">
        <x:v>520</x:v>
      </x:c>
      <x:c r="E9" s="14" t="n">
        <x:v>530</x:v>
      </x:c>
      <x:c r="F9" s="14" t="n">
        <x:v>480</x:v>
      </x:c>
      <x:c r="G9" s="14" t="n">
        <x:v>390</x:v>
      </x:c>
      <x:c r="H9" s="14" t="str">
        <x:v>Line chart</x:v>
      </x:c>
      <x:c r="I9" s="14" t="str">
        <x:v>G.2/G.3</x:v>
      </x:c>
      <x:c r="J9" s="14" t="str">
        <x:v>Mois</x:v>
      </x:c>
      <x:c r="K9" s="14" t="str">
        <x:v>Sans quadrillage lourd</x:v>
      </x:c>
      <x:c r="L9" s="14" t="str">
        <x:v>Bleu/rouge/orange</x:v>
      </x:c>
      <x:c r="M9" s="14" t="str">
        <x:v>Cross filter</x:v>
      </x:c>
    </x:row>
    <x:row r="10">
      <x:c r="A10" s="14" t="str">
        <x:v>Performance</x:v>
      </x:c>
      <x:c r="B10" s="14" t="str">
        <x:v>Bars</x:v>
      </x:c>
      <x:c r="C10" s="14" t="str">
        <x:v>Répartition affaires commissionnées</x:v>
      </x:c>
      <x:c r="D10" s="14" t="n">
        <x:v>1020</x:v>
      </x:c>
      <x:c r="E10" s="14" t="n">
        <x:v>530</x:v>
      </x:c>
      <x:c r="F10" s="14" t="n">
        <x:v>500</x:v>
      </x:c>
      <x:c r="G10" s="14" t="n">
        <x:v>390</x:v>
      </x:c>
      <x:c r="H10" s="14" t="str">
        <x:v>Bar chart horizontal</x:v>
      </x:c>
      <x:c r="I10" s="14" t="str">
        <x:v>Commissionnées</x:v>
      </x:c>
      <x:c r="J10" s="14" t="str">
        <x:v>Produit</x:v>
      </x:c>
      <x:c r="K10" s="14" t="str">
        <x:v>Track gris</x:v>
      </x:c>
      <x:c r="L10" s="14" t="str">
        <x:v>Couleur par produit</x:v>
      </x:c>
      <x:c r="M10" s="14" t="str">
        <x:v>Cross filter</x:v>
      </x:c>
    </x:row>
    <x:row r="11">
      <x:c r="A11" s="14" t="str">
        <x:v>Affaires</x:v>
      </x:c>
      <x:c r="B11" s="14" t="str">
        <x:v>Compare</x:v>
      </x:c>
      <x:c r="C11" s="14" t="str">
        <x:v>Comparaison deux mois</x:v>
      </x:c>
      <x:c r="D11" s="14" t="n">
        <x:v>20</x:v>
      </x:c>
      <x:c r="E11" s="14" t="n">
        <x:v>530</x:v>
      </x:c>
      <x:c r="F11" s="14" t="n">
        <x:v>1500</x:v>
      </x:c>
      <x:c r="G11" s="14" t="n">
        <x:v>220</x:v>
      </x:c>
      <x:c r="H11" s="14" t="str">
        <x:v>Groupe 3 KPI cards</x:v>
      </x:c>
      <x:c r="I11" s="14" t="str">
        <x:v>M1, M2, delta</x:v>
      </x:c>
      <x:c r="J11" s="14" t="str">
        <x:v>Mois_Reference / Mois_Compare</x:v>
      </x:c>
      <x:c r="K11" s="14" t="str">
        <x:v>3 cartes internes</x:v>
      </x:c>
      <x:c r="L11" s="14" t="str">
        <x:v>Bleu/rouge selon delta</x:v>
      </x:c>
      <x:c r="M11" s="14" t="str">
        <x:v>Slicers mois</x:v>
      </x:c>
    </x:row>
    <x:row r="12">
      <x:c r="A12" s="14" t="str">
        <x:v>Affaires</x:v>
      </x:c>
      <x:c r="B12" s="14" t="str">
        <x:v>Jauges</x:v>
      </x:c>
      <x:c r="C12" s="14" t="str">
        <x:v>Budget gauges</x:v>
      </x:c>
      <x:c r="D12" s="14" t="n">
        <x:v>20</x:v>
      </x:c>
      <x:c r="E12" s="14" t="n">
        <x:v>766</x:v>
      </x:c>
      <x:c r="F12" s="14" t="n">
        <x:v>1500</x:v>
      </x:c>
      <x:c r="G12" s="14" t="n">
        <x:v>132</x:v>
      </x:c>
      <x:c r="H12" s="14" t="str">
        <x:v>Gauge custom</x:v>
      </x:c>
      <x:c r="I12" s="14" t="str">
        <x:v>Budget N</x:v>
      </x:c>
      <x:c r="J12" s="14" t="str">
        <x:v>Affaires / rétro</x:v>
      </x:c>
      <x:c r="K12" s="14" t="str">
        <x:v>Gauge + texte</x:v>
      </x:c>
      <x:c r="L12" s="14" t="str">
        <x:v>Conditionnel budget</x:v>
      </x:c>
      <x:c r="M12" s="14" t="str">
        <x:v>Tooltip budget</x:v>
      </x:c>
    </x:row>
    <x:row r="13">
      <x:c r="A13" s="14" t="str">
        <x:v>Affaires</x:v>
      </x:c>
      <x:c r="B13" s="14" t="str">
        <x:v>Line</x:v>
      </x:c>
      <x:c r="C13" s="14" t="str">
        <x:v>Volume réalisé vs N-1 vs MTD-1</x:v>
      </x:c>
      <x:c r="D13" s="14" t="n">
        <x:v>20</x:v>
      </x:c>
      <x:c r="E13" s="14" t="n">
        <x:v>914</x:v>
      </x:c>
      <x:c r="F13" s="14" t="n">
        <x:v>740</x:v>
      </x:c>
      <x:c r="G13" s="14" t="n">
        <x:v>360</x:v>
      </x:c>
      <x:c r="H13" s="14" t="str">
        <x:v>Line chart</x:v>
      </x:c>
      <x:c r="I13" s="14" t="str">
        <x:v>G.3</x:v>
      </x:c>
      <x:c r="J13" s="14" t="str">
        <x:v>Mois</x:v>
      </x:c>
      <x:c r="K13" s="14" t="str">
        <x:v>3 séries</x:v>
      </x:c>
      <x:c r="L13" s="14" t="str">
        <x:v>Bleu/rouge/orange</x:v>
      </x:c>
      <x:c r="M13" s="14" t="str">
        <x:v>Cross filter</x:v>
      </x:c>
    </x:row>
    <x:row r="14">
      <x:c r="A14" s="14" t="str">
        <x:v>Affaires</x:v>
      </x:c>
      <x:c r="B14" s="14" t="str">
        <x:v>Bars</x:v>
      </x:c>
      <x:c r="C14" s="14" t="str">
        <x:v>Axes d'analyse affaires</x:v>
      </x:c>
      <x:c r="D14" s="14" t="n">
        <x:v>780</x:v>
      </x:c>
      <x:c r="E14" s="14" t="n">
        <x:v>914</x:v>
      </x:c>
      <x:c r="F14" s="14" t="n">
        <x:v>740</x:v>
      </x:c>
      <x:c r="G14" s="14" t="n">
        <x:v>360</x:v>
      </x:c>
      <x:c r="H14" s="14" t="str">
        <x:v>Bar chart horizontal</x:v>
      </x:c>
      <x:c r="I14" s="14" t="str">
        <x:v>Volume affaires</x:v>
      </x:c>
      <x:c r="J14" s="14" t="str">
        <x:v>FP_Axe_Affaires</x:v>
      </x:c>
      <x:c r="K14" s="14" t="str">
        <x:v>Track bars</x:v>
      </x:c>
      <x:c r="L14" s="14" t="str">
        <x:v>Bleu/vert/orange/rouge</x:v>
      </x:c>
      <x:c r="M14" s="14" t="str">
        <x:v>Field param</x:v>
      </x:c>
    </x:row>
    <x:row r="15">
      <x:c r="A15" s="14" t="str">
        <x:v>Réseau MIA</x:v>
      </x:c>
      <x:c r="B15" s="14" t="str">
        <x:v>Map</x:v>
      </x:c>
      <x:c r="C15" s="14" t="str">
        <x:v>Carte France agences</x:v>
      </x:c>
      <x:c r="D15" s="14" t="n">
        <x:v>20</x:v>
      </x:c>
      <x:c r="E15" s="14" t="n">
        <x:v>530</x:v>
      </x:c>
      <x:c r="F15" s="14" t="n">
        <x:v>910</x:v>
      </x:c>
      <x:c r="G15" s="14" t="n">
        <x:v>720</x:v>
      </x:c>
      <x:c r="H15" s="14" t="str">
        <x:v>Shape map / Azure Map / image + bubbles</x:v>
      </x:c>
      <x:c r="I15" s="14" t="str">
        <x:v>G.6 actifs</x:v>
      </x:c>
      <x:c r="J15" s="14" t="str">
        <x:v>Agence/lat-long</x:v>
      </x:c>
      <x:c r="K15" s="14" t="str">
        <x:v>Bulle bleue, sélection rouge</x:v>
      </x:c>
      <x:c r="L15" s="14" t="str">
        <x:v>#0A4E97/#D71920</x:v>
      </x:c>
      <x:c r="M15" s="14" t="str">
        <x:v>Sélection agence filtre focus</x:v>
      </x:c>
    </x:row>
    <x:row r="16">
      <x:c r="A16" s="14" t="str">
        <x:v>Réseau MIA</x:v>
      </x:c>
      <x:c r="B16" s="14" t="str">
        <x:v>Donut</x:v>
      </x:c>
      <x:c r="C16" s="14" t="str">
        <x:v>Répartition RDV par CSP</x:v>
      </x:c>
      <x:c r="D16" s="14" t="n">
        <x:v>950</x:v>
      </x:c>
      <x:c r="E16" s="14" t="n">
        <x:v>530</x:v>
      </x:c>
      <x:c r="F16" s="14" t="n">
        <x:v>270</x:v>
      </x:c>
      <x:c r="G16" s="14" t="n">
        <x:v>300</x:v>
      </x:c>
      <x:c r="H16" s="14" t="str">
        <x:v>Donut chart</x:v>
      </x:c>
      <x:c r="I16" s="14" t="str">
        <x:v>G.14/G.15</x:v>
      </x:c>
      <x:c r="J16" s="14" t="str">
        <x:v>CSP</x:v>
      </x:c>
      <x:c r="K16" s="14" t="str">
        <x:v>Donut 178px, légende 2 colonnes</x:v>
      </x:c>
      <x:c r="L16" s="14" t="str">
        <x:v>Bleu palette</x:v>
      </x:c>
      <x:c r="M16" s="14" t="str">
        <x:v>Cross filter</x:v>
      </x:c>
    </x:row>
    <x:row r="17">
      <x:c r="A17" s="14" t="str">
        <x:v>Réseau MIA</x:v>
      </x:c>
      <x:c r="B17" s="14" t="str">
        <x:v>Donut</x:v>
      </x:c>
      <x:c r="C17" s="14" t="str">
        <x:v>Répartition MIA</x:v>
      </x:c>
      <x:c r="D17" s="14" t="n">
        <x:v>1250</x:v>
      </x:c>
      <x:c r="E17" s="14" t="n">
        <x:v>530</x:v>
      </x:c>
      <x:c r="F17" s="14" t="n">
        <x:v>270</x:v>
      </x:c>
      <x:c r="G17" s="14" t="n">
        <x:v>300</x:v>
      </x:c>
      <x:c r="H17" s="14" t="str">
        <x:v>Donut chart</x:v>
      </x:c>
      <x:c r="I17" s="14" t="str">
        <x:v>G.6/G.8/G.10</x:v>
      </x:c>
      <x:c r="J17" s="14" t="str">
        <x:v>Statut MIA</x:v>
      </x:c>
      <x:c r="K17" s="14" t="str">
        <x:v>Donut 178px, légende</x:v>
      </x:c>
      <x:c r="L17" s="14" t="str">
        <x:v>Bleu/rouge/orange</x:v>
      </x:c>
      <x:c r="M17" s="14" t="str">
        <x:v>Cross filter</x:v>
      </x:c>
    </x:row>
    <x:row r="18">
      <x:c r="A18" s="14" t="str">
        <x:v>Réseau MIA</x:v>
      </x:c>
      <x:c r="B18" s="14" t="str">
        <x:v>Table</x:v>
      </x:c>
      <x:c r="C18" s="14" t="str">
        <x:v>Petit tableau réseau</x:v>
      </x:c>
      <x:c r="D18" s="14" t="n">
        <x:v>950</x:v>
      </x:c>
      <x:c r="E18" s="14" t="n">
        <x:v>850</x:v>
      </x:c>
      <x:c r="F18" s="14" t="n">
        <x:v>570</x:v>
      </x:c>
      <x:c r="G18" s="14" t="n">
        <x:v>220</x:v>
      </x:c>
      <x:c r="H18" s="14" t="str">
        <x:v>Table</x:v>
      </x:c>
      <x:c r="I18" s="14" t="str">
        <x:v>Rétro, flags</x:v>
      </x:c>
      <x:c r="J18" s="14" t="str">
        <x:v>Raison sociale</x:v>
      </x:c>
      <x:c r="K18" s="14" t="str">
        <x:v>Rows #F7F9FC</x:v>
      </x:c>
      <x:c r="L18" s="14" t="str">
        <x:v>Header #667085</x:v>
      </x:c>
      <x:c r="M18" s="14" t="str">
        <x:v>Sélection ligne</x:v>
      </x:c>
    </x:row>
    <x:row r="19">
      <x:c r="A19" s="14" t="str">
        <x:v>Réseau MIA</x:v>
      </x:c>
      <x:c r="B19" s="14" t="str">
        <x:v>Bars</x:v>
      </x:c>
      <x:c r="C19" s="14" t="str">
        <x:v>Nombre MIA Productifs</x:v>
      </x:c>
      <x:c r="D19" s="14" t="n">
        <x:v>950</x:v>
      </x:c>
      <x:c r="E19" s="14" t="n">
        <x:v>1090</x:v>
      </x:c>
      <x:c r="F19" s="14" t="n">
        <x:v>570</x:v>
      </x:c>
      <x:c r="G19" s="14" t="n">
        <x:v>260</x:v>
      </x:c>
      <x:c r="H19" s="14" t="str">
        <x:v>Bar chart horizontal</x:v>
      </x:c>
      <x:c r="I19" s="14" t="str">
        <x:v>G.8 à créer</x:v>
      </x:c>
      <x:c r="J19" s="14" t="str">
        <x:v>Agence/Réseau</x:v>
      </x:c>
      <x:c r="K19" s="14" t="str">
        <x:v>Track gris</x:v>
      </x:c>
      <x:c r="L19" s="14" t="str">
        <x:v>Conditionnel</x:v>
      </x:c>
      <x:c r="M19" s="14" t="str">
        <x:v>Cross filter</x:v>
      </x:c>
    </x:row>
    <x:row r="20">
      <x:c r="A20" s="14" t="str">
        <x:v>RDV</x:v>
      </x:c>
      <x:c r="B20" s="14" t="str">
        <x:v>Bars</x:v>
      </x:c>
      <x:c r="C20" s="14" t="str">
        <x:v>Répartition RDV réalisés</x:v>
      </x:c>
      <x:c r="D20" s="14" t="n">
        <x:v>20</x:v>
      </x:c>
      <x:c r="E20" s="14" t="n">
        <x:v>530</x:v>
      </x:c>
      <x:c r="F20" s="14" t="n">
        <x:v>480</x:v>
      </x:c>
      <x:c r="G20" s="14" t="n">
        <x:v>360</x:v>
      </x:c>
      <x:c r="H20" s="14" t="str">
        <x:v>Bar chart horizontal</x:v>
      </x:c>
      <x:c r="I20" s="14" t="str">
        <x:v>G.15</x:v>
      </x:c>
      <x:c r="J20" s="14" t="str">
        <x:v>Type RDV</x:v>
      </x:c>
      <x:c r="K20" s="14" t="str">
        <x:v>Track gris</x:v>
      </x:c>
      <x:c r="L20" s="14" t="str">
        <x:v>Bleu/orange/vert/rouge</x:v>
      </x:c>
      <x:c r="M20" s="14" t="str">
        <x:v>Cross filter</x:v>
      </x:c>
    </x:row>
    <x:row r="21">
      <x:c r="A21" s="14" t="str">
        <x:v>RDV</x:v>
      </x:c>
      <x:c r="B21" s="14" t="str">
        <x:v>Line</x:v>
      </x:c>
      <x:c r="C21" s="14" t="str">
        <x:v>RDV prévus vs réalisés</x:v>
      </x:c>
      <x:c r="D21" s="14" t="n">
        <x:v>520</x:v>
      </x:c>
      <x:c r="E21" s="14" t="n">
        <x:v>530</x:v>
      </x:c>
      <x:c r="F21" s="14" t="n">
        <x:v>1000</x:v>
      </x:c>
      <x:c r="G21" s="14" t="n">
        <x:v>360</x:v>
      </x:c>
      <x:c r="H21" s="14" t="str">
        <x:v>Line chart</x:v>
      </x:c>
      <x:c r="I21" s="14" t="str">
        <x:v>G.14/G.15</x:v>
      </x:c>
      <x:c r="J21" s="14" t="str">
        <x:v>Mois</x:v>
      </x:c>
      <x:c r="K21" s="14" t="str">
        <x:v>2 séries</x:v>
      </x:c>
      <x:c r="L21" s="14" t="str">
        <x:v>Bleu/rouge</x:v>
      </x:c>
      <x:c r="M21" s="14" t="str">
        <x:v>Cross filter</x:v>
      </x:c>
    </x:row>
    <x:row r="22">
      <x:c r="A22" s="14" t="str">
        <x:v>RDV</x:v>
      </x:c>
      <x:c r="B22" s="14" t="str">
        <x:v>Table</x:v>
      </x:c>
      <x:c r="C22" s="14" t="str">
        <x:v>Détail rendez-vous</x:v>
      </x:c>
      <x:c r="D22" s="14" t="n">
        <x:v>20</x:v>
      </x:c>
      <x:c r="E22" s="14" t="n">
        <x:v>910</x:v>
      </x:c>
      <x:c r="F22" s="14" t="n">
        <x:v>1500</x:v>
      </x:c>
      <x:c r="G22" s="14" t="n">
        <x:v>280</x:v>
      </x:c>
      <x:c r="H22" s="14" t="str">
        <x:v>Matrix</x:v>
      </x:c>
      <x:c r="I22" s="14" t="str">
        <x:v>G.14/G.15</x:v>
      </x:c>
      <x:c r="J22" s="14" t="str">
        <x:v>Type RDV</x:v>
      </x:c>
      <x:c r="K22" s="14" t="str">
        <x:v>Header uppercase</x:v>
      </x:c>
      <x:c r="L22" s="14" t="str">
        <x:v>Row #F7F9FC</x:v>
      </x:c>
      <x:c r="M22" s="14" t="str">
        <x:v>Drill/down</x:v>
      </x:c>
    </x:row>
    <x:row r="23">
      <x:c r="A23" s="14" t="str">
        <x:v>Alertes</x:v>
      </x:c>
      <x:c r="B23" s="14" t="str">
        <x:v>Cards</x:v>
      </x:c>
      <x:c r="C23" s="14" t="str">
        <x:v>Alertes critiques/hautes/moyennes/ouvertes</x:v>
      </x:c>
      <x:c r="D23" s="14" t="n">
        <x:v>20</x:v>
      </x:c>
      <x:c r="E23" s="14" t="n">
        <x:v>330</x:v>
      </x:c>
      <x:c r="F23" s="14" t="n">
        <x:v>1500</x:v>
      </x:c>
      <x:c r="G23" s="14" t="n">
        <x:v>178</x:v>
      </x:c>
      <x:c r="H23" s="14" t="str">
        <x:v>KPI cards fusionnées</x:v>
      </x:c>
      <x:c r="I23" s="14" t="str">
        <x:v>fact_alertes à créer</x:v>
      </x:c>
      <x:c r="J23" s="14" t="str">
        <x:v>Niveau</x:v>
      </x:c>
      <x:c r="K23" s="14" t="str">
        <x:v>Template</x:v>
      </x:c>
      <x:c r="L23" s="14" t="str">
        <x:v>Conditionnel niveau</x:v>
      </x:c>
      <x:c r="M23" s="14" t="str">
        <x:v>Filtre niveau</x:v>
      </x:c>
    </x:row>
    <x:row r="24">
      <x:c r="A24" s="14" t="str">
        <x:v>Alertes</x:v>
      </x:c>
      <x:c r="B24" s="14" t="str">
        <x:v>Lists</x:v>
      </x:c>
      <x:c r="C24" s="14" t="str">
        <x:v>Niveaux d'alerte + Recommandations</x:v>
      </x:c>
      <x:c r="D24" s="14" t="n">
        <x:v>20</x:v>
      </x:c>
      <x:c r="E24" s="14" t="n">
        <x:v>530</x:v>
      </x:c>
      <x:c r="F24" s="14" t="n">
        <x:v>1500</x:v>
      </x:c>
      <x:c r="G24" s="14" t="n">
        <x:v>340</x:v>
      </x:c>
      <x:c r="H24" s="14" t="str">
        <x:v>List cards</x:v>
      </x:c>
      <x:c r="I24" s="14" t="str">
        <x:v>Règles alerte</x:v>
      </x:c>
      <x:c r="J24" s="14" t="str">
        <x:v>KPI concerné</x:v>
      </x:c>
      <x:c r="K24" s="14" t="str">
        <x:v>Items avec dots</x:v>
      </x:c>
      <x:c r="L24" s="14" t="str">
        <x:v>Rouge/orange/jaune/vert</x:v>
      </x:c>
      <x:c r="M24" s="14" t="str">
        <x:v>Tooltip règles</x:v>
      </x:c>
    </x:row>
    <x:row r="25">
      <x:c r="A25" s="14" t="str">
        <x:v>Alertes</x:v>
      </x:c>
      <x:c r="B25" s="14" t="str">
        <x:v>Table</x:v>
      </x:c>
      <x:c r="C25" s="14" t="str">
        <x:v>Détail alertes</x:v>
      </x:c>
      <x:c r="D25" s="14" t="n">
        <x:v>20</x:v>
      </x:c>
      <x:c r="E25" s="14" t="n">
        <x:v>900</x:v>
      </x:c>
      <x:c r="F25" s="14" t="n">
        <x:v>1500</x:v>
      </x:c>
      <x:c r="G25" s="14" t="n">
        <x:v>300</x:v>
      </x:c>
      <x:c r="H25" s="14" t="str">
        <x:v>Table</x:v>
      </x:c>
      <x:c r="I25" s="14" t="str">
        <x:v>fact_alertes</x:v>
      </x:c>
      <x:c r="J25" s="14" t="str">
        <x:v>alerte_id</x:v>
      </x:c>
      <x:c r="K25" s="14" t="str">
        <x:v>Table vide jusqu'à création</x:v>
      </x:c>
      <x:c r="L25" s="14" t="str">
        <x:v>Header gris</x:v>
      </x:c>
      <x:c r="M25" s="14" t="str">
        <x:v>Sélection alerte</x:v>
      </x:c>
    </x:row>
    <x:row r="26">
      <x:c r="A26" s="14" t="str">
        <x:v>Glossaire</x:v>
      </x:c>
      <x:c r="B26" s="14" t="str">
        <x:v>Table</x:v>
      </x:c>
      <x:c r="C26" s="14" t="str">
        <x:v>Glossaire KPI</x:v>
      </x:c>
      <x:c r="D26" s="14" t="n">
        <x:v>20</x:v>
      </x:c>
      <x:c r="E26" s="14" t="n">
        <x:v>330</x:v>
      </x:c>
      <x:c r="F26" s="14" t="n">
        <x:v>1500</x:v>
      </x:c>
      <x:c r="G26" s="14" t="n">
        <x:v>620</x:v>
      </x:c>
      <x:c r="H26" s="14" t="str">
        <x:v>Table / Matrix</x:v>
      </x:c>
      <x:c r="I26" s="14" t="str">
        <x:v>Référentiel Excel</x:v>
      </x:c>
      <x:c r="J26" s="14" t="str">
        <x:v>Indicateur</x:v>
      </x:c>
      <x:c r="K26" s="14" t="str">
        <x:v>Rows lisibles</x:v>
      </x:c>
      <x:c r="L26" s="14" t="str">
        <x:v>Header #667085</x:v>
      </x:c>
      <x:c r="M26" s="14" t="str">
        <x:v>Recherche KPI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</x:cols>
  <x:sheetData>
    <x:row r="1" ht="36" customHeight="1">
      <x:c r="A1" s="6" t="str">
        <x:v>Page</x:v>
      </x:c>
      <x:c r="B1" s="6" t="str">
        <x:v>Canvas W</x:v>
      </x:c>
      <x:c r="C1" s="6" t="str">
        <x:v>Canvas H</x:v>
      </x:c>
      <x:c r="D1" s="6" t="str">
        <x:v>Title Zone</x:v>
      </x:c>
      <x:c r="E1" s="6" t="str">
        <x:v>Toolbar</x:v>
      </x:c>
      <x:c r="F1" s="6" t="str">
        <x:v>KPI Row</x:v>
      </x:c>
      <x:c r="G1" s="6" t="str">
        <x:v>Card size</x:v>
      </x:c>
      <x:c r="H1" s="6" t="str">
        <x:v>Card X positions</x:v>
      </x:c>
      <x:c r="I1" s="6" t="str">
        <x:v>Content below</x:v>
      </x:c>
      <x:c r="J1" s="6" t="str">
        <x:v>Notes</x:v>
      </x:c>
    </x:row>
    <x:row r="2">
      <x:c r="A2" s="14" t="str">
        <x:v>Accueil</x:v>
      </x:c>
      <x:c r="B2" s="14" t="n">
        <x:v>1540</x:v>
      </x:c>
      <x:c r="C2" s="14" t="n">
        <x:v>1480</x:v>
      </x:c>
      <x:c r="D2" s="14" t="str">
        <x:v>x20 y110 w1500 h132</x:v>
      </x:c>
      <x:c r="E2" s="14" t="str">
        <x:v>x20 y260 w1500 h56</x:v>
      </x:c>
      <x:c r="F2" s="14" t="str">
        <x:v>x20 y330 h178</x:v>
      </x:c>
      <x:c r="G2" s="14" t="str">
        <x:v>287x178</x:v>
      </x:c>
      <x:c r="H2" s="14" t="str">
        <x:v>20,323,626,929,1232</x:v>
      </x:c>
      <x:c r="I2" s="14" t="str">
        <x:v>Jauges y530 ; Alertes y680 ; Charts y1020</x:v>
      </x:c>
      <x:c r="J2" s="14" t="str">
        <x:v>5 cards full</x:v>
      </x:c>
    </x:row>
    <x:row r="3">
      <x:c r="A3" s="14" t="str">
        <x:v>Performance</x:v>
      </x:c>
      <x:c r="B3" s="14" t="n">
        <x:v>1540</x:v>
      </x:c>
      <x:c r="C3" s="14" t="n">
        <x:v>1250</x:v>
      </x:c>
      <x:c r="D3" s="14" t="str">
        <x:v>x20 y110 w1500 h132</x:v>
      </x:c>
      <x:c r="E3" s="14" t="str">
        <x:v>x20 y260 w1500 h56</x:v>
      </x:c>
      <x:c r="F3" s="14" t="str">
        <x:v>x20 y330 h178</x:v>
      </x:c>
      <x:c r="G3" s="14" t="str">
        <x:v>287x178</x:v>
      </x:c>
      <x:c r="H3" s="14" t="str">
        <x:v>20,323,626,929,1232</x:v>
      </x:c>
      <x:c r="I3" s="14" t="str">
        <x:v>3 charts y530 h390</x:v>
      </x:c>
      <x:c r="J3" s="14" t="str">
        <x:v>Field parameter mesure en toolbar</x:v>
      </x:c>
    </x:row>
    <x:row r="4">
      <x:c r="A4" s="14" t="str">
        <x:v>Affaires</x:v>
      </x:c>
      <x:c r="B4" s="14" t="n">
        <x:v>1540</x:v>
      </x:c>
      <x:c r="C4" s="14" t="n">
        <x:v>1400</x:v>
      </x:c>
      <x:c r="D4" s="14" t="str">
        <x:v>x20 y110 w1500 h132</x:v>
      </x:c>
      <x:c r="E4" s="14" t="str">
        <x:v>x20 y260 w1500 h56</x:v>
      </x:c>
      <x:c r="F4" s="14" t="str">
        <x:v>x20 y330 h178</x:v>
      </x:c>
      <x:c r="G4" s="14" t="str">
        <x:v>287x178</x:v>
      </x:c>
      <x:c r="H4" s="14" t="str">
        <x:v>20,323,626,929,1232</x:v>
      </x:c>
      <x:c r="I4" s="14" t="str">
        <x:v>Comparaison y530 ; Jauges y766 ; Charts y914</x:v>
      </x:c>
      <x:c r="J4" s="14" t="str">
        <x:v>Deux slicers mois indépendants</x:v>
      </x:c>
    </x:row>
    <x:row r="5">
      <x:c r="A5" s="14" t="str">
        <x:v>Réseau MIA</x:v>
      </x:c>
      <x:c r="B5" s="14" t="n">
        <x:v>1540</x:v>
      </x:c>
      <x:c r="C5" s="14" t="n">
        <x:v>1580</x:v>
      </x:c>
      <x:c r="D5" s="14" t="str">
        <x:v>x20 y110 w1500 h132</x:v>
      </x:c>
      <x:c r="E5" s="14" t="str">
        <x:v>x20 y260 w1500 h56</x:v>
      </x:c>
      <x:c r="F5" s="14" t="str">
        <x:v>x20 y330 h178</x:v>
      </x:c>
      <x:c r="G5" s="14" t="str">
        <x:v>287x178</x:v>
      </x:c>
      <x:c r="H5" s="14" t="str">
        <x:v>20,323,626,929,1232</x:v>
      </x:c>
      <x:c r="I5" s="14" t="str">
        <x:v>Map y530 ; Side panels y530 ; Table y1270 si ouverte</x:v>
      </x:c>
      <x:c r="J5" s="14" t="str">
        <x:v>Bookmark table ouverte/fermée</x:v>
      </x:c>
    </x:row>
    <x:row r="6">
      <x:c r="A6" s="14" t="str">
        <x:v>Rendez-vous</x:v>
      </x:c>
      <x:c r="B6" s="14" t="n">
        <x:v>1540</x:v>
      </x:c>
      <x:c r="C6" s="14" t="n">
        <x:v>1250</x:v>
      </x:c>
      <x:c r="D6" s="14" t="str">
        <x:v>x20 y110 w1500 h132</x:v>
      </x:c>
      <x:c r="E6" s="14" t="str">
        <x:v>x20 y260 w1500 h56</x:v>
      </x:c>
      <x:c r="F6" s="14" t="str">
        <x:v>x20 y330 h178</x:v>
      </x:c>
      <x:c r="G6" s="14" t="str">
        <x:v>287x178</x:v>
      </x:c>
      <x:c r="H6" s="14" t="str">
        <x:v>20,323,626,929,1232</x:v>
      </x:c>
      <x:c r="I6" s="14" t="str">
        <x:v>Bars+Line y530 ; Table y910</x:v>
      </x:c>
      <x:c r="J6" s="14" t="str">
        <x:v>RDV BIM majoritairement OK</x:v>
      </x:c>
    </x:row>
    <x:row r="7">
      <x:c r="A7" s="14" t="str">
        <x:v>Alertes</x:v>
      </x:c>
      <x:c r="B7" s="14" t="n">
        <x:v>1540</x:v>
      </x:c>
      <x:c r="C7" s="14" t="n">
        <x:v>1250</x:v>
      </x:c>
      <x:c r="D7" s="14" t="str">
        <x:v>x20 y110 w1500 h132</x:v>
      </x:c>
      <x:c r="E7" s="14" t="str">
        <x:v>x20 y260 w1500 h56</x:v>
      </x:c>
      <x:c r="F7" s="14" t="str">
        <x:v>x20 y330 h178</x:v>
      </x:c>
      <x:c r="G7" s="14" t="str">
        <x:v>287x178</x:v>
      </x:c>
      <x:c r="H7" s="14" t="str">
        <x:v>20,323,626,929,1232</x:v>
      </x:c>
      <x:c r="I7" s="14" t="str">
        <x:v>Règles y530 ; Detail y900</x:v>
      </x:c>
      <x:c r="J7" s="14" t="str">
        <x:v>fact_alertes à créer</x:v>
      </x:c>
    </x:row>
    <x:row r="8">
      <x:c r="A8" s="14" t="str">
        <x:v>Glossaire</x:v>
      </x:c>
      <x:c r="B8" s="14" t="n">
        <x:v>1540</x:v>
      </x:c>
      <x:c r="C8" s="14" t="n">
        <x:v>1050</x:v>
      </x:c>
      <x:c r="D8" s="14" t="str">
        <x:v>x20 y110 w1500 h132</x:v>
      </x:c>
      <x:c r="E8" s="14" t="str">
        <x:v>x20 y260 w1500 h56</x:v>
      </x:c>
      <x:c r="F8" s="14" t="str">
        <x:v>N/A</x:v>
      </x:c>
      <x:c r="G8" s="14" t="str">
        <x:v>N/A</x:v>
      </x:c>
      <x:c r="H8" s="14" t="str">
        <x:v>N/A</x:v>
      </x:c>
      <x:c r="I8" s="14" t="str">
        <x:v>Table y330</x:v>
      </x:c>
      <x:c r="J8" s="14" t="str">
        <x:v>Table des définitions KPI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</x:cols>
  <x:sheetData>
    <x:row r="1" ht="36" customHeight="1">
      <x:c r="A1" s="6" t="str">
        <x:v>Domaine</x:v>
      </x:c>
      <x:c r="B1" s="6" t="str">
        <x:v>Index Excel</x:v>
      </x:c>
      <x:c r="C1" s="6" t="str">
        <x:v>Libellé</x:v>
      </x:c>
      <x:c r="D1" s="6" t="str">
        <x:v>Priorité</x:v>
      </x:c>
      <x:c r="E1" s="6" t="str">
        <x:v>BIM Statut</x:v>
      </x:c>
      <x:c r="F1" s="6" t="str">
        <x:v>Mesure / Source BIM</x:v>
      </x:c>
      <x:c r="G1" s="6" t="str">
        <x:v>Action Power BI</x:v>
      </x:c>
    </x:row>
    <x:row r="2">
      <x:c r="A2" s="14" t="str">
        <x:v>Affaires</x:v>
      </x:c>
      <x:c r="B2" s="14" t="str">
        <x:v>G.1</x:v>
      </x:c>
      <x:c r="C2" s="14" t="str">
        <x:v>Nombre de ventes</x:v>
      </x:c>
      <x:c r="D2" s="14" t="str">
        <x:v>P1</x:v>
      </x:c>
      <x:c r="E2" s="14" t="str">
        <x:v>Absent</x:v>
      </x:c>
      <x:c r="F2" s="14" t="str">
        <x:v>N/A</x:v>
      </x:c>
      <x:c r="G2" s="14" t="str">
        <x:v>Créer fact_affaires/fact_ventes</x:v>
      </x:c>
    </x:row>
    <x:row r="3">
      <x:c r="A3" s="14" t="str">
        <x:v>Affaires</x:v>
      </x:c>
      <x:c r="B3" s="14" t="str">
        <x:v>G.2</x:v>
      </x:c>
      <x:c r="C3" s="14" t="str">
        <x:v>Nombre d’affaires produites</x:v>
      </x:c>
      <x:c r="D3" s="14" t="str">
        <x:v>P1</x:v>
      </x:c>
      <x:c r="E3" s="14" t="str">
        <x:v>Absent</x:v>
      </x:c>
      <x:c r="F3" s="14" t="str">
        <x:v>N/A</x:v>
      </x:c>
      <x:c r="G3" s="14" t="str">
        <x:v>Créer fact_affaires + mesure</x:v>
      </x:c>
    </x:row>
    <x:row r="4">
      <x:c r="A4" s="14" t="str">
        <x:v>Affaires</x:v>
      </x:c>
      <x:c r="B4" s="14" t="str">
        <x:v>G.3</x:v>
      </x:c>
      <x:c r="C4" s="14" t="str">
        <x:v>Volume d’affaires produites (€)</x:v>
      </x:c>
      <x:c r="D4" s="14" t="str">
        <x:v>P1</x:v>
      </x:c>
      <x:c r="E4" s="14" t="str">
        <x:v>Absent</x:v>
      </x:c>
      <x:c r="F4" s="14" t="str">
        <x:v>N/A</x:v>
      </x:c>
      <x:c r="G4" s="14" t="str">
        <x:v>Créer fact_affaires + mesure</x:v>
      </x:c>
    </x:row>
    <x:row r="5">
      <x:c r="A5" s="14" t="str">
        <x:v>Affaires</x:v>
      </x:c>
      <x:c r="B5" s="14" t="str">
        <x:v>G.4</x:v>
      </x:c>
      <x:c r="C5" s="14" t="str">
        <x:v>Budget affaires en nombre</x:v>
      </x:c>
      <x:c r="D5" s="14" t="str">
        <x:v>P1</x:v>
      </x:c>
      <x:c r="E5" s="14" t="str">
        <x:v>Absent</x:v>
      </x:c>
      <x:c r="F5" s="14" t="str">
        <x:v>N/A</x:v>
      </x:c>
      <x:c r="G5" s="14" t="str">
        <x:v>Créer budget_affaires</x:v>
      </x:c>
    </x:row>
    <x:row r="6">
      <x:c r="A6" s="14" t="str">
        <x:v>Affaires</x:v>
      </x:c>
      <x:c r="B6" s="14" t="str">
        <x:v>G.5</x:v>
      </x:c>
      <x:c r="C6" s="14" t="str">
        <x:v>Budget affaires en euro</x:v>
      </x:c>
      <x:c r="D6" s="14" t="str">
        <x:v>P1</x:v>
      </x:c>
      <x:c r="E6" s="14" t="str">
        <x:v>Absent</x:v>
      </x:c>
      <x:c r="F6" s="14" t="str">
        <x:v>N/A</x:v>
      </x:c>
      <x:c r="G6" s="14" t="str">
        <x:v>Créer budget_affaires</x:v>
      </x:c>
    </x:row>
    <x:row r="7">
      <x:c r="A7" s="14" t="str">
        <x:v>Réseau</x:v>
      </x:c>
      <x:c r="B7" s="14" t="str">
        <x:v>G.6</x:v>
      </x:c>
      <x:c r="C7" s="14" t="str">
        <x:v>Nombre de mandataire Actif</x:v>
      </x:c>
      <x:c r="D7" s="14" t="str">
        <x:v>P1</x:v>
      </x:c>
      <x:c r="E7" s="14" t="str">
        <x:v>OK</x:v>
      </x:c>
      <x:c r="F7" s="14" t="str">
        <x:v>_Indicateurs[Nombre mandataires actifs]</x:v>
      </x:c>
      <x:c r="G7" s="14" t="str">
        <x:v>Réutiliser</x:v>
      </x:c>
    </x:row>
    <x:row r="8">
      <x:c r="A8" s="14" t="str">
        <x:v>Réseau</x:v>
      </x:c>
      <x:c r="B8" s="14" t="str">
        <x:v>G.7</x:v>
      </x:c>
      <x:c r="C8" s="14" t="str">
        <x:v>Nombre de mandataire Inactif</x:v>
      </x:c>
      <x:c r="D8" s="14" t="str">
        <x:v>P1</x:v>
      </x:c>
      <x:c r="E8" s="14" t="str">
        <x:v>OK</x:v>
      </x:c>
      <x:c r="F8" s="14" t="str">
        <x:v>_Indicateurs[Nombre mandataires inactifs]</x:v>
      </x:c>
      <x:c r="G8" s="14" t="str">
        <x:v>Réutiliser</x:v>
      </x:c>
    </x:row>
    <x:row r="9">
      <x:c r="A9" s="14" t="str">
        <x:v>Réseau</x:v>
      </x:c>
      <x:c r="B9" s="14" t="str">
        <x:v>G.8</x:v>
      </x:c>
      <x:c r="C9" s="14" t="str">
        <x:v>Nombre de mandataire Productif</x:v>
      </x:c>
      <x:c r="D9" s="14" t="str">
        <x:v>P1</x:v>
      </x:c>
      <x:c r="E9" s="14" t="str">
        <x:v>Absent</x:v>
      </x:c>
      <x:c r="F9" s="14" t="str">
        <x:v>N/A</x:v>
      </x:c>
      <x:c r="G9" s="14" t="str">
        <x:v>Créer mesure productifs</x:v>
      </x:c>
    </x:row>
    <x:row r="10">
      <x:c r="A10" s="14" t="str">
        <x:v>Réseau</x:v>
      </x:c>
      <x:c r="B10" s="14" t="str">
        <x:v>G.9</x:v>
      </x:c>
      <x:c r="C10" s="14" t="str">
        <x:v>Nombre de mandataire non Productif</x:v>
      </x:c>
      <x:c r="D10" s="14" t="str">
        <x:v>P1</x:v>
      </x:c>
      <x:c r="E10" s="14" t="str">
        <x:v>Absent</x:v>
      </x:c>
      <x:c r="F10" s="14" t="str">
        <x:v>N/A</x:v>
      </x:c>
      <x:c r="G10" s="14" t="str">
        <x:v>Créer mesure non productifs</x:v>
      </x:c>
    </x:row>
    <x:row r="11">
      <x:c r="A11" s="14" t="str">
        <x:v>Réseau</x:v>
      </x:c>
      <x:c r="B11" s="14" t="str">
        <x:v>G.10</x:v>
      </x:c>
      <x:c r="C11" s="14" t="str">
        <x:v>Nombre de mandataire rétrocommissionés</x:v>
      </x:c>
      <x:c r="D11" s="14" t="str">
        <x:v>P1</x:v>
      </x:c>
      <x:c r="E11" s="14" t="str">
        <x:v>OK</x:v>
      </x:c>
      <x:c r="F11" s="14" t="str">
        <x:v>_Indicateurs[Nombre mandataires rétrocommissionnés]</x:v>
      </x:c>
      <x:c r="G11" s="14" t="str">
        <x:v>Réutiliser</x:v>
      </x:c>
    </x:row>
    <x:row r="12">
      <x:c r="A12" s="14" t="str">
        <x:v>Réseau</x:v>
      </x:c>
      <x:c r="B12" s="14" t="str">
        <x:v>G.11</x:v>
      </x:c>
      <x:c r="C12" s="14" t="str">
        <x:v>Nombre de mandataire non rétrocommissionés</x:v>
      </x:c>
      <x:c r="D12" s="14" t="str">
        <x:v>P1</x:v>
      </x:c>
      <x:c r="E12" s="14" t="str">
        <x:v>Absent</x:v>
      </x:c>
      <x:c r="F12" s="14" t="str">
        <x:v>N/A</x:v>
      </x:c>
      <x:c r="G12" s="14" t="str">
        <x:v>Créer mesure</x:v>
      </x:c>
    </x:row>
    <x:row r="13">
      <x:c r="A13" s="14" t="str">
        <x:v>RDV</x:v>
      </x:c>
      <x:c r="B13" s="14" t="str">
        <x:v>G.12</x:v>
      </x:c>
      <x:c r="C13" s="14" t="str">
        <x:v>Nombre de RDV hebdomadaire moyen</x:v>
      </x:c>
      <x:c r="D13" s="14" t="str">
        <x:v>P1</x:v>
      </x:c>
      <x:c r="E13" s="14" t="str">
        <x:v>À créer/dériver</x:v>
      </x:c>
      <x:c r="F13" s="14" t="str">
        <x:v>RDV prévus/réalisés</x:v>
      </x:c>
      <x:c r="G13" s="14" t="str">
        <x:v>Créer mesure moyenne hebdo</x:v>
      </x:c>
    </x:row>
    <x:row r="14">
      <x:c r="A14" s="14" t="str">
        <x:v>RDV</x:v>
      </x:c>
      <x:c r="B14" s="14" t="str">
        <x:v>G.13</x:v>
      </x:c>
      <x:c r="C14" s="14" t="str">
        <x:v>Taux de réalisation des rendez-vous</x:v>
      </x:c>
      <x:c r="D14" s="14" t="str">
        <x:v>P1</x:v>
      </x:c>
      <x:c r="E14" s="14" t="str">
        <x:v>OK</x:v>
      </x:c>
      <x:c r="F14" s="14" t="str">
        <x:v>_Indicateurs[Taux réalisation de rendez-vous]</x:v>
      </x:c>
      <x:c r="G14" s="14" t="str">
        <x:v>Réutiliser</x:v>
      </x:c>
    </x:row>
    <x:row r="15">
      <x:c r="A15" s="14" t="str">
        <x:v>RDV</x:v>
      </x:c>
      <x:c r="B15" s="14" t="str">
        <x:v>G.14</x:v>
      </x:c>
      <x:c r="C15" s="14" t="str">
        <x:v>Nombre de rendez-vous prévus</x:v>
      </x:c>
      <x:c r="D15" s="14" t="str">
        <x:v>P1</x:v>
      </x:c>
      <x:c r="E15" s="14" t="str">
        <x:v>OK</x:v>
      </x:c>
      <x:c r="F15" s="14" t="str">
        <x:v>_Indicateurs[Nombre rendez-vous prévus]</x:v>
      </x:c>
      <x:c r="G15" s="14" t="str">
        <x:v>Réutiliser</x:v>
      </x:c>
    </x:row>
    <x:row r="16">
      <x:c r="A16" s="14" t="str">
        <x:v>RDV</x:v>
      </x:c>
      <x:c r="B16" s="14" t="str">
        <x:v>G.15</x:v>
      </x:c>
      <x:c r="C16" s="14" t="str">
        <x:v>Nombre de rendez-vous réalisés</x:v>
      </x:c>
      <x:c r="D16" s="14" t="str">
        <x:v>P1</x:v>
      </x:c>
      <x:c r="E16" s="14" t="str">
        <x:v>OK</x:v>
      </x:c>
      <x:c r="F16" s="14" t="str">
        <x:v>_Indicateurs[Nombre rendez-vous réalisés]</x:v>
      </x:c>
      <x:c r="G16" s="14" t="str">
        <x:v>Réutiliser</x:v>
      </x:c>
    </x:row>
    <x:row r="17">
      <x:c r="A17" s="14" t="str">
        <x:v>RDV</x:v>
      </x:c>
      <x:c r="B17" s="14" t="str">
        <x:v>G.18</x:v>
      </x:c>
      <x:c r="C17" s="14" t="str">
        <x:v>Taux RDV réalisés en visioconférence</x:v>
      </x:c>
      <x:c r="D17" s="14" t="str">
        <x:v>P2</x:v>
      </x:c>
      <x:c r="E17" s="14" t="str">
        <x:v>OK</x:v>
      </x:c>
      <x:c r="F17" s="14" t="str">
        <x:v>_Indicateurs[Taux rendez vous réalisés en visioconférence]</x:v>
      </x:c>
      <x:c r="G17" s="14" t="str">
        <x:v>Réutiliser</x:v>
      </x:c>
    </x:row>
    <x:row r="18">
      <x:c r="A18" s="14" t="str">
        <x:v>RDV</x:v>
      </x:c>
      <x:c r="B18" s="14" t="str">
        <x:v>G.19</x:v>
      </x:c>
      <x:c r="C18" s="14" t="str">
        <x:v>Taux RDV faits à domicile</x:v>
      </x:c>
      <x:c r="D18" s="14" t="str">
        <x:v>P2</x:v>
      </x:c>
      <x:c r="E18" s="14" t="str">
        <x:v>OK</x:v>
      </x:c>
      <x:c r="F18" s="14" t="str">
        <x:v>_Indicateurs[Taux rendez-vous faits à domicile]</x:v>
      </x:c>
      <x:c r="G18" s="14" t="str">
        <x:v>Réutiliser</x:v>
      </x:c>
    </x:row>
    <x:row r="19">
      <x:c r="A19" s="14" t="str">
        <x:v>RDV</x:v>
      </x:c>
      <x:c r="B19" s="14" t="str">
        <x:v>G.20</x:v>
      </x:c>
      <x:c r="C19" s="14" t="str">
        <x:v>Nombre RDV réalisés en visioconférence</x:v>
      </x:c>
      <x:c r="D19" s="14" t="str">
        <x:v>P2</x:v>
      </x:c>
      <x:c r="E19" s="14" t="str">
        <x:v>OK</x:v>
      </x:c>
      <x:c r="F19" s="14" t="str">
        <x:v>_Indicateurs[Nombre rendez-vous réalisés en visioconférence]</x:v>
      </x:c>
      <x:c r="G19" s="14" t="str">
        <x:v>Réutiliser</x:v>
      </x:c>
    </x:row>
    <x:row r="20">
      <x:c r="A20" s="14" t="str">
        <x:v>RDV</x:v>
      </x:c>
      <x:c r="B20" s="14" t="str">
        <x:v>G.21</x:v>
      </x:c>
      <x:c r="C20" s="14" t="str">
        <x:v>Nombre RDV faits à domicile</x:v>
      </x:c>
      <x:c r="D20" s="14" t="str">
        <x:v>P2</x:v>
      </x:c>
      <x:c r="E20" s="14" t="str">
        <x:v>OK</x:v>
      </x:c>
      <x:c r="F20" s="14" t="str">
        <x:v>_Indicateurs[Nombre rendez-vous réalisés à domicile]</x:v>
      </x:c>
      <x:c r="G20" s="14" t="str">
        <x:v>Réutiliser</x:v>
      </x:c>
    </x:row>
    <x:row r="21">
      <x:c r="A21" s="14" t="str">
        <x:v>Alertes</x:v>
      </x:c>
      <x:c r="B21" s="14" t="str">
        <x:v>À créer</x:v>
      </x:c>
      <x:c r="C21" s="14" t="str">
        <x:v>Fact alertes</x:v>
      </x:c>
      <x:c r="D21" s="14" t="str">
        <x:v>P1</x:v>
      </x:c>
      <x:c r="E21" s="14" t="str">
        <x:v>Absent</x:v>
      </x:c>
      <x:c r="F21" s="14" t="str">
        <x:v>N/A</x:v>
      </x:c>
      <x:c r="G21" s="14" t="str">
        <x:v>Créer fact_alertes + mesures alertes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6" customHeight="1">
      <x:c r="A1" s="6" t="str">
        <x:v>Objet</x:v>
      </x:c>
      <x:c r="B1" s="6" t="str">
        <x:v>Type</x:v>
      </x:c>
      <x:c r="C1" s="6" t="str">
        <x:v>DAX / Définition</x:v>
      </x:c>
      <x:c r="D1" s="6" t="str">
        <x:v>Statut</x:v>
      </x:c>
      <x:c r="E1" s="6" t="str">
        <x:v>Utilisation</x:v>
      </x:c>
    </x:row>
    <x:row r="2">
      <x:c r="A2" s="14" t="str">
        <x:v>FP_Axe_Organisation</x:v>
      </x:c>
      <x:c r="B2" s="14" t="str">
        <x:v>Field parameter</x:v>
      </x:c>
      <x:c r="C2" s="14" t="str">
        <x:v>NAMEOF(dim_agence[agence]), NAMEOF(dim_agence[raison_sociale]), NAMEOF(dim_region[region]), NAMEOF(dim_mandataire[mandataire])</x:v>
      </x:c>
      <x:c r="D2" s="14" t="str">
        <x:v>À créer</x:v>
      </x:c>
      <x:c r="E2" s="14" t="str">
        <x:v>Slicers organisation</x:v>
      </x:c>
    </x:row>
    <x:row r="3">
      <x:c r="A3" s="14" t="str">
        <x:v>FP_Axe_Affaires</x:v>
      </x:c>
      <x:c r="B3" s="14" t="str">
        <x:v>Field parameter</x:v>
      </x:c>
      <x:c r="C3" s="14" t="str">
        <x:v>Agence, Centre d'affaires, Région, Secteur, Mandataire</x:v>
      </x:c>
      <x:c r="D3" s="14" t="str">
        <x:v>À créer</x:v>
      </x:c>
      <x:c r="E3" s="14" t="str">
        <x:v>Page Affaires</x:v>
      </x:c>
    </x:row>
    <x:row r="4">
      <x:c r="A4" s="14" t="str">
        <x:v>FP_Axe_Reseau</x:v>
      </x:c>
      <x:c r="B4" s="14" t="str">
        <x:v>Field parameter</x:v>
      </x:c>
      <x:c r="C4" s="14" t="str">
        <x:v>Région, Agence, Centre d'affaires, Raison sociale</x:v>
      </x:c>
      <x:c r="D4" s="14" t="str">
        <x:v>À créer</x:v>
      </x:c>
      <x:c r="E4" s="14" t="str">
        <x:v>Page Réseau</x:v>
      </x:c>
    </x:row>
    <x:row r="5">
      <x:c r="A5" s="14" t="str">
        <x:v>FP_Axe_RDV</x:v>
      </x:c>
      <x:c r="B5" s="14" t="str">
        <x:v>Field parameter</x:v>
      </x:c>
      <x:c r="C5" s="14" t="str">
        <x:v>Type RDV, Canal RDV, Statut RDV, Motif RDV</x:v>
      </x:c>
      <x:c r="D5" s="14" t="str">
        <x:v>À créer</x:v>
      </x:c>
      <x:c r="E5" s="14" t="str">
        <x:v>Page RDV</x:v>
      </x:c>
    </x:row>
    <x:row r="6">
      <x:c r="A6" s="14" t="str">
        <x:v>FP_Metric_Performance</x:v>
      </x:c>
      <x:c r="B6" s="14" t="str">
        <x:v>Field parameter mesures</x:v>
      </x:c>
      <x:c r="C6" s="14" t="str">
        <x:v>Volume affaires produites, Instance, Commissionnées, Rétro moyenne, Taux Budget</x:v>
      </x:c>
      <x:c r="D6" s="14" t="str">
        <x:v>À créer</x:v>
      </x:c>
      <x:c r="E6" s="14" t="str">
        <x:v>Page Performance</x:v>
      </x:c>
    </x:row>
    <x:row r="7">
      <x:c r="A7" s="14" t="str">
        <x:v>BM_Reseau_Table_Fermee</x:v>
      </x:c>
      <x:c r="B7" s="14" t="str">
        <x:v>Bookmark</x:v>
      </x:c>
      <x:c r="C7" s="14" t="str">
        <x:v>Tableau détaillé masqué ; bouton = Afficher le tableau</x:v>
      </x:c>
      <x:c r="D7" s="14" t="str">
        <x:v>À créer</x:v>
      </x:c>
      <x:c r="E7" s="14" t="str">
        <x:v>Réseau MIA</x:v>
      </x:c>
    </x:row>
    <x:row r="8">
      <x:c r="A8" s="14" t="str">
        <x:v>BM_Reseau_Table_Ouverte</x:v>
      </x:c>
      <x:c r="B8" s="14" t="str">
        <x:v>Bookmark</x:v>
      </x:c>
      <x:c r="C8" s="14" t="str">
        <x:v>Tableau détaillé visible ; bouton = Masquer le tableau</x:v>
      </x:c>
      <x:c r="D8" s="14" t="str">
        <x:v>À créer</x:v>
      </x:c>
      <x:c r="E8" s="14" t="str">
        <x:v>Réseau MIA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0" hidden="0" customWidth="1"/>
    <x:col min="4" max="4" width="25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12" hidden="0" customWidth="1"/>
    <x:col min="10" max="10" width="14" hidden="0" customWidth="1"/>
    <x:col min="11" max="11" width="8" hidden="0" customWidth="1"/>
    <x:col min="12" max="12" width="18" hidden="0" customWidth="1"/>
    <x:col min="13" max="13" width="42" hidden="0" customWidth="1"/>
  </x:cols>
  <x:sheetData>
    <x:row r="1">
      <x:c r="A1" s="23" t="str">
        <x:v>Page</x:v>
      </x:c>
      <x:c r="B1" s="23" t="str">
        <x:v>Groupe</x:v>
      </x:c>
      <x:c r="C1" s="23" t="str">
        <x:v>Objet</x:v>
      </x:c>
      <x:c r="D1" s="23" t="str">
        <x:v>Type visuel/objet</x:v>
      </x:c>
      <x:c r="E1" s="23" t="str">
        <x:v>X</x:v>
      </x:c>
      <x:c r="F1" s="23" t="str">
        <x:v>Y</x:v>
      </x:c>
      <x:c r="G1" s="23" t="str">
        <x:v>W</x:v>
      </x:c>
      <x:c r="H1" s="23" t="str">
        <x:v>H</x:v>
      </x:c>
      <x:c r="I1" s="23" t="str">
        <x:v>Right=X+W</x:v>
      </x:c>
      <x:c r="J1" s="23" t="str">
        <x:v>Bottom=Y+H</x:v>
      </x:c>
      <x:c r="K1" s="23" t="str">
        <x:v>ZIndex</x:v>
      </x:c>
      <x:c r="L1" s="23" t="str">
        <x:v>Politique overlap</x:v>
      </x:c>
      <x:c r="M1" s="23" t="str">
        <x:v>Notes</x:v>
      </x:c>
    </x:row>
    <x:row r="2">
      <x:c r="A2" s="24" t="str">
        <x:v>Accueil</x:v>
      </x:c>
      <x:c r="B2" s="24" t="str">
        <x:v>G00_Header_Global</x:v>
      </x:c>
      <x:c r="C2" s="24" t="str">
        <x:v>Header_Global</x:v>
      </x:c>
      <x:c r="D2" s="24" t="str">
        <x:v>Shape+buttons+slicer</x:v>
      </x:c>
      <x:c r="E2" s="25" t="n">
        <x:v>0</x:v>
      </x:c>
      <x:c r="F2" s="25" t="n">
        <x:v>0</x:v>
      </x:c>
      <x:c r="G2" s="25" t="n">
        <x:v>1540</x:v>
      </x:c>
      <x:c r="H2" s="25" t="n">
        <x:v>88</x:v>
      </x:c>
      <x:c r="I2" s="25" t="n">
        <x:f>E2+G2</x:f>
        <x:v>1540</x:v>
      </x:c>
      <x:c r="J2" s="25" t="n">
        <x:f>F2+H2</x:f>
        <x:v>88</x:v>
      </x:c>
      <x:c r="K2" s="25" t="n">
        <x:v>1</x:v>
      </x:c>
      <x:c r="L2" s="24" t="str">
        <x:v>NoOverlap</x:v>
      </x:c>
      <x:c r="M2" s="24" t="str">
        <x:v>Bandeau fixe de navigation</x:v>
      </x:c>
    </x:row>
    <x:row r="3">
      <x:c r="A3" s="24" t="str">
        <x:v>Accueil</x:v>
      </x:c>
      <x:c r="B3" s="24" t="str">
        <x:v>G01_Title_Zone</x:v>
      </x:c>
      <x:c r="C3" s="24" t="str">
        <x:v>Title_Zone</x:v>
      </x:c>
      <x:c r="D3" s="24" t="str">
        <x:v>Shape+text+pills</x:v>
      </x:c>
      <x:c r="E3" s="25" t="n">
        <x:v>20</x:v>
      </x:c>
      <x:c r="F3" s="25" t="n">
        <x:v>110</x:v>
      </x:c>
      <x:c r="G3" s="25" t="n">
        <x:v>1500</x:v>
      </x:c>
      <x:c r="H3" s="25" t="n">
        <x:v>132</x:v>
      </x:c>
      <x:c r="I3" s="25" t="n">
        <x:f>E3+G3</x:f>
        <x:v>1520</x:v>
      </x:c>
      <x:c r="J3" s="25" t="n">
        <x:f>F3+H3</x:f>
        <x:v>242</x:v>
      </x:c>
      <x:c r="K3" s="25" t="n">
        <x:v>2</x:v>
      </x:c>
      <x:c r="L3" s="24" t="str">
        <x:v>NoOverlap</x:v>
      </x:c>
      <x:c r="M3" s="24" t="str">
        <x:v>Zone titre bleue</x:v>
      </x:c>
    </x:row>
    <x:row r="4">
      <x:c r="A4" s="24" t="str">
        <x:v>Accueil</x:v>
      </x:c>
      <x:c r="B4" s="24" t="str">
        <x:v>G02_Toolbar</x:v>
      </x:c>
      <x:c r="C4" s="24" t="str">
        <x:v>Toolbar_Slicers_FieldParams</x:v>
      </x:c>
      <x:c r="D4" s="24" t="str">
        <x:v>Buttons+slicers</x:v>
      </x:c>
      <x:c r="E4" s="25" t="n">
        <x:v>20</x:v>
      </x:c>
      <x:c r="F4" s="25" t="n">
        <x:v>260</x:v>
      </x:c>
      <x:c r="G4" s="25" t="n">
        <x:v>1500</x:v>
      </x:c>
      <x:c r="H4" s="25" t="n">
        <x:v>56</x:v>
      </x:c>
      <x:c r="I4" s="25" t="n">
        <x:f>E4+G4</x:f>
        <x:v>1520</x:v>
      </x:c>
      <x:c r="J4" s="25" t="n">
        <x:f>F4+H4</x:f>
        <x:v>316</x:v>
      </x:c>
      <x:c r="K4" s="25" t="n">
        <x:v>3</x:v>
      </x:c>
      <x:c r="L4" s="24" t="str">
        <x:v>NoOverlap</x:v>
      </x:c>
      <x:c r="M4" s="24" t="str">
        <x:v>Slicers et field parameters</x:v>
      </x:c>
    </x:row>
    <x:row r="5">
      <x:c r="A5" s="24" t="str">
        <x:v>Accueil</x:v>
      </x:c>
      <x:c r="B5" s="24" t="str">
        <x:v>G03_KPI_Row</x:v>
      </x:c>
      <x:c r="C5" s="24" t="str">
        <x:v>KPI_Card_01</x:v>
      </x:c>
      <x:c r="D5" s="24" t="str">
        <x:v>Composite card group</x:v>
      </x:c>
      <x:c r="E5" s="25" t="n">
        <x:v>20</x:v>
      </x:c>
      <x:c r="F5" s="25" t="n">
        <x:v>330</x:v>
      </x:c>
      <x:c r="G5" s="25" t="n">
        <x:v>287</x:v>
      </x:c>
      <x:c r="H5" s="25" t="n">
        <x:v>180</x:v>
      </x:c>
      <x:c r="I5" s="25" t="n">
        <x:f>E5+G5</x:f>
        <x:v>307</x:v>
      </x:c>
      <x:c r="J5" s="25" t="n">
        <x:f>F5+H5</x:f>
        <x:v>510</x:v>
      </x:c>
      <x:c r="K5" s="25" t="n">
        <x:v>11</x:v>
      </x:c>
      <x:c r="L5" s="24" t="str">
        <x:v>NoOverlap</x:v>
      </x:c>
      <x:c r="M5" s="24" t="str">
        <x:v>Carte KPI fusionnée ; ses objets internes sont contrôlés par Template_Card</x:v>
      </x:c>
    </x:row>
    <x:row r="6">
      <x:c r="A6" s="24" t="str">
        <x:v>Accueil</x:v>
      </x:c>
      <x:c r="B6" s="24" t="str">
        <x:v>G03_KPI_Row</x:v>
      </x:c>
      <x:c r="C6" s="24" t="str">
        <x:v>KPI_Card_02</x:v>
      </x:c>
      <x:c r="D6" s="24" t="str">
        <x:v>Composite card group</x:v>
      </x:c>
      <x:c r="E6" s="25" t="n">
        <x:v>323</x:v>
      </x:c>
      <x:c r="F6" s="25" t="n">
        <x:v>330</x:v>
      </x:c>
      <x:c r="G6" s="25" t="n">
        <x:v>287</x:v>
      </x:c>
      <x:c r="H6" s="25" t="n">
        <x:v>180</x:v>
      </x:c>
      <x:c r="I6" s="25" t="n">
        <x:f>E6+G6</x:f>
        <x:v>610</x:v>
      </x:c>
      <x:c r="J6" s="25" t="n">
        <x:f>F6+H6</x:f>
        <x:v>510</x:v>
      </x:c>
      <x:c r="K6" s="25" t="n">
        <x:v>12</x:v>
      </x:c>
      <x:c r="L6" s="24" t="str">
        <x:v>NoOverlap</x:v>
      </x:c>
      <x:c r="M6" s="24" t="str">
        <x:v>Carte KPI fusionnée ; ses objets internes sont contrôlés par Template_Card</x:v>
      </x:c>
    </x:row>
    <x:row r="7">
      <x:c r="A7" s="24" t="str">
        <x:v>Accueil</x:v>
      </x:c>
      <x:c r="B7" s="24" t="str">
        <x:v>G03_KPI_Row</x:v>
      </x:c>
      <x:c r="C7" s="24" t="str">
        <x:v>KPI_Card_03</x:v>
      </x:c>
      <x:c r="D7" s="24" t="str">
        <x:v>Composite card group</x:v>
      </x:c>
      <x:c r="E7" s="25" t="n">
        <x:v>626</x:v>
      </x:c>
      <x:c r="F7" s="25" t="n">
        <x:v>330</x:v>
      </x:c>
      <x:c r="G7" s="25" t="n">
        <x:v>287</x:v>
      </x:c>
      <x:c r="H7" s="25" t="n">
        <x:v>180</x:v>
      </x:c>
      <x:c r="I7" s="25" t="n">
        <x:f>E7+G7</x:f>
        <x:v>913</x:v>
      </x:c>
      <x:c r="J7" s="25" t="n">
        <x:f>F7+H7</x:f>
        <x:v>510</x:v>
      </x:c>
      <x:c r="K7" s="25" t="n">
        <x:v>13</x:v>
      </x:c>
      <x:c r="L7" s="24" t="str">
        <x:v>NoOverlap</x:v>
      </x:c>
      <x:c r="M7" s="24" t="str">
        <x:v>Carte KPI fusionnée ; ses objets internes sont contrôlés par Template_Card</x:v>
      </x:c>
    </x:row>
    <x:row r="8">
      <x:c r="A8" s="24" t="str">
        <x:v>Accueil</x:v>
      </x:c>
      <x:c r="B8" s="24" t="str">
        <x:v>G03_KPI_Row</x:v>
      </x:c>
      <x:c r="C8" s="24" t="str">
        <x:v>KPI_Card_04</x:v>
      </x:c>
      <x:c r="D8" s="24" t="str">
        <x:v>Composite card group</x:v>
      </x:c>
      <x:c r="E8" s="25" t="n">
        <x:v>929</x:v>
      </x:c>
      <x:c r="F8" s="25" t="n">
        <x:v>330</x:v>
      </x:c>
      <x:c r="G8" s="25" t="n">
        <x:v>287</x:v>
      </x:c>
      <x:c r="H8" s="25" t="n">
        <x:v>180</x:v>
      </x:c>
      <x:c r="I8" s="25" t="n">
        <x:f>E8+G8</x:f>
        <x:v>1216</x:v>
      </x:c>
      <x:c r="J8" s="25" t="n">
        <x:f>F8+H8</x:f>
        <x:v>510</x:v>
      </x:c>
      <x:c r="K8" s="25" t="n">
        <x:v>14</x:v>
      </x:c>
      <x:c r="L8" s="24" t="str">
        <x:v>NoOverlap</x:v>
      </x:c>
      <x:c r="M8" s="24" t="str">
        <x:v>Carte KPI fusionnée ; ses objets internes sont contrôlés par Template_Card</x:v>
      </x:c>
    </x:row>
    <x:row r="9">
      <x:c r="A9" s="24" t="str">
        <x:v>Accueil</x:v>
      </x:c>
      <x:c r="B9" s="24" t="str">
        <x:v>G03_KPI_Row</x:v>
      </x:c>
      <x:c r="C9" s="24" t="str">
        <x:v>KPI_Card_05</x:v>
      </x:c>
      <x:c r="D9" s="24" t="str">
        <x:v>Composite card group</x:v>
      </x:c>
      <x:c r="E9" s="25" t="n">
        <x:v>1232</x:v>
      </x:c>
      <x:c r="F9" s="25" t="n">
        <x:v>330</x:v>
      </x:c>
      <x:c r="G9" s="25" t="n">
        <x:v>287</x:v>
      </x:c>
      <x:c r="H9" s="25" t="n">
        <x:v>180</x:v>
      </x:c>
      <x:c r="I9" s="25" t="n">
        <x:f>E9+G9</x:f>
        <x:v>1519</x:v>
      </x:c>
      <x:c r="J9" s="25" t="n">
        <x:f>F9+H9</x:f>
        <x:v>510</x:v>
      </x:c>
      <x:c r="K9" s="25" t="n">
        <x:v>15</x:v>
      </x:c>
      <x:c r="L9" s="24" t="str">
        <x:v>NoOverlap</x:v>
      </x:c>
      <x:c r="M9" s="24" t="str">
        <x:v>Carte KPI fusionnée ; ses objets internes sont contrôlés par Template_Card</x:v>
      </x:c>
    </x:row>
    <x:row r="10">
      <x:c r="A10" s="24" t="str">
        <x:v>Performance</x:v>
      </x:c>
      <x:c r="B10" s="24" t="str">
        <x:v>G00_Header_Global</x:v>
      </x:c>
      <x:c r="C10" s="24" t="str">
        <x:v>Header_Global</x:v>
      </x:c>
      <x:c r="D10" s="24" t="str">
        <x:v>Shape+buttons+slicer</x:v>
      </x:c>
      <x:c r="E10" s="25" t="n">
        <x:v>0</x:v>
      </x:c>
      <x:c r="F10" s="25" t="n">
        <x:v>0</x:v>
      </x:c>
      <x:c r="G10" s="25" t="n">
        <x:v>1540</x:v>
      </x:c>
      <x:c r="H10" s="25" t="n">
        <x:v>88</x:v>
      </x:c>
      <x:c r="I10" s="25" t="n">
        <x:f>E10+G10</x:f>
        <x:v>1540</x:v>
      </x:c>
      <x:c r="J10" s="25" t="n">
        <x:f>F10+H10</x:f>
        <x:v>88</x:v>
      </x:c>
      <x:c r="K10" s="25" t="n">
        <x:v>1</x:v>
      </x:c>
      <x:c r="L10" s="24" t="str">
        <x:v>NoOverlap</x:v>
      </x:c>
      <x:c r="M10" s="24" t="str">
        <x:v>Bandeau fixe de navigation</x:v>
      </x:c>
    </x:row>
    <x:row r="11">
      <x:c r="A11" s="24" t="str">
        <x:v>Performance</x:v>
      </x:c>
      <x:c r="B11" s="24" t="str">
        <x:v>G01_Title_Zone</x:v>
      </x:c>
      <x:c r="C11" s="24" t="str">
        <x:v>Title_Zone</x:v>
      </x:c>
      <x:c r="D11" s="24" t="str">
        <x:v>Shape+text+pills</x:v>
      </x:c>
      <x:c r="E11" s="25" t="n">
        <x:v>20</x:v>
      </x:c>
      <x:c r="F11" s="25" t="n">
        <x:v>110</x:v>
      </x:c>
      <x:c r="G11" s="25" t="n">
        <x:v>1500</x:v>
      </x:c>
      <x:c r="H11" s="25" t="n">
        <x:v>132</x:v>
      </x:c>
      <x:c r="I11" s="25" t="n">
        <x:f>E11+G11</x:f>
        <x:v>1520</x:v>
      </x:c>
      <x:c r="J11" s="25" t="n">
        <x:f>F11+H11</x:f>
        <x:v>242</x:v>
      </x:c>
      <x:c r="K11" s="25" t="n">
        <x:v>2</x:v>
      </x:c>
      <x:c r="L11" s="24" t="str">
        <x:v>NoOverlap</x:v>
      </x:c>
      <x:c r="M11" s="24" t="str">
        <x:v>Zone titre bleue</x:v>
      </x:c>
    </x:row>
    <x:row r="12">
      <x:c r="A12" s="24" t="str">
        <x:v>Performance</x:v>
      </x:c>
      <x:c r="B12" s="24" t="str">
        <x:v>G02_Toolbar</x:v>
      </x:c>
      <x:c r="C12" s="24" t="str">
        <x:v>Toolbar_Slicers_FieldParams</x:v>
      </x:c>
      <x:c r="D12" s="24" t="str">
        <x:v>Buttons+slicers</x:v>
      </x:c>
      <x:c r="E12" s="25" t="n">
        <x:v>20</x:v>
      </x:c>
      <x:c r="F12" s="25" t="n">
        <x:v>260</x:v>
      </x:c>
      <x:c r="G12" s="25" t="n">
        <x:v>1500</x:v>
      </x:c>
      <x:c r="H12" s="25" t="n">
        <x:v>56</x:v>
      </x:c>
      <x:c r="I12" s="25" t="n">
        <x:f>E12+G12</x:f>
        <x:v>1520</x:v>
      </x:c>
      <x:c r="J12" s="25" t="n">
        <x:f>F12+H12</x:f>
        <x:v>316</x:v>
      </x:c>
      <x:c r="K12" s="25" t="n">
        <x:v>3</x:v>
      </x:c>
      <x:c r="L12" s="24" t="str">
        <x:v>NoOverlap</x:v>
      </x:c>
      <x:c r="M12" s="24" t="str">
        <x:v>Slicers et field parameters</x:v>
      </x:c>
    </x:row>
    <x:row r="13">
      <x:c r="A13" s="24" t="str">
        <x:v>Performance</x:v>
      </x:c>
      <x:c r="B13" s="24" t="str">
        <x:v>G03_KPI_Row</x:v>
      </x:c>
      <x:c r="C13" s="24" t="str">
        <x:v>KPI_Card_01</x:v>
      </x:c>
      <x:c r="D13" s="24" t="str">
        <x:v>Composite card group</x:v>
      </x:c>
      <x:c r="E13" s="25" t="n">
        <x:v>20</x:v>
      </x:c>
      <x:c r="F13" s="25" t="n">
        <x:v>330</x:v>
      </x:c>
      <x:c r="G13" s="25" t="n">
        <x:v>287</x:v>
      </x:c>
      <x:c r="H13" s="25" t="n">
        <x:v>180</x:v>
      </x:c>
      <x:c r="I13" s="25" t="n">
        <x:f>E13+G13</x:f>
        <x:v>307</x:v>
      </x:c>
      <x:c r="J13" s="25" t="n">
        <x:f>F13+H13</x:f>
        <x:v>510</x:v>
      </x:c>
      <x:c r="K13" s="25" t="n">
        <x:v>11</x:v>
      </x:c>
      <x:c r="L13" s="24" t="str">
        <x:v>NoOverlap</x:v>
      </x:c>
      <x:c r="M13" s="24" t="str">
        <x:v>Carte KPI fusionnée ; ses objets internes sont contrôlés par Template_Card</x:v>
      </x:c>
    </x:row>
    <x:row r="14">
      <x:c r="A14" s="24" t="str">
        <x:v>Performance</x:v>
      </x:c>
      <x:c r="B14" s="24" t="str">
        <x:v>G03_KPI_Row</x:v>
      </x:c>
      <x:c r="C14" s="24" t="str">
        <x:v>KPI_Card_02</x:v>
      </x:c>
      <x:c r="D14" s="24" t="str">
        <x:v>Composite card group</x:v>
      </x:c>
      <x:c r="E14" s="25" t="n">
        <x:v>323</x:v>
      </x:c>
      <x:c r="F14" s="25" t="n">
        <x:v>330</x:v>
      </x:c>
      <x:c r="G14" s="25" t="n">
        <x:v>287</x:v>
      </x:c>
      <x:c r="H14" s="25" t="n">
        <x:v>180</x:v>
      </x:c>
      <x:c r="I14" s="25" t="n">
        <x:f>E14+G14</x:f>
        <x:v>610</x:v>
      </x:c>
      <x:c r="J14" s="25" t="n">
        <x:f>F14+H14</x:f>
        <x:v>510</x:v>
      </x:c>
      <x:c r="K14" s="25" t="n">
        <x:v>12</x:v>
      </x:c>
      <x:c r="L14" s="24" t="str">
        <x:v>NoOverlap</x:v>
      </x:c>
      <x:c r="M14" s="24" t="str">
        <x:v>Carte KPI fusionnée ; ses objets internes sont contrôlés par Template_Card</x:v>
      </x:c>
    </x:row>
    <x:row r="15">
      <x:c r="A15" s="24" t="str">
        <x:v>Performance</x:v>
      </x:c>
      <x:c r="B15" s="24" t="str">
        <x:v>G03_KPI_Row</x:v>
      </x:c>
      <x:c r="C15" s="24" t="str">
        <x:v>KPI_Card_03</x:v>
      </x:c>
      <x:c r="D15" s="24" t="str">
        <x:v>Composite card group</x:v>
      </x:c>
      <x:c r="E15" s="25" t="n">
        <x:v>626</x:v>
      </x:c>
      <x:c r="F15" s="25" t="n">
        <x:v>330</x:v>
      </x:c>
      <x:c r="G15" s="25" t="n">
        <x:v>287</x:v>
      </x:c>
      <x:c r="H15" s="25" t="n">
        <x:v>180</x:v>
      </x:c>
      <x:c r="I15" s="25" t="n">
        <x:f>E15+G15</x:f>
        <x:v>913</x:v>
      </x:c>
      <x:c r="J15" s="25" t="n">
        <x:f>F15+H15</x:f>
        <x:v>510</x:v>
      </x:c>
      <x:c r="K15" s="25" t="n">
        <x:v>13</x:v>
      </x:c>
      <x:c r="L15" s="24" t="str">
        <x:v>NoOverlap</x:v>
      </x:c>
      <x:c r="M15" s="24" t="str">
        <x:v>Carte KPI fusionnée ; ses objets internes sont contrôlés par Template_Card</x:v>
      </x:c>
    </x:row>
    <x:row r="16">
      <x:c r="A16" s="24" t="str">
        <x:v>Performance</x:v>
      </x:c>
      <x:c r="B16" s="24" t="str">
        <x:v>G03_KPI_Row</x:v>
      </x:c>
      <x:c r="C16" s="24" t="str">
        <x:v>KPI_Card_04</x:v>
      </x:c>
      <x:c r="D16" s="24" t="str">
        <x:v>Composite card group</x:v>
      </x:c>
      <x:c r="E16" s="25" t="n">
        <x:v>929</x:v>
      </x:c>
      <x:c r="F16" s="25" t="n">
        <x:v>330</x:v>
      </x:c>
      <x:c r="G16" s="25" t="n">
        <x:v>287</x:v>
      </x:c>
      <x:c r="H16" s="25" t="n">
        <x:v>180</x:v>
      </x:c>
      <x:c r="I16" s="25" t="n">
        <x:f>E16+G16</x:f>
        <x:v>1216</x:v>
      </x:c>
      <x:c r="J16" s="25" t="n">
        <x:f>F16+H16</x:f>
        <x:v>510</x:v>
      </x:c>
      <x:c r="K16" s="25" t="n">
        <x:v>14</x:v>
      </x:c>
      <x:c r="L16" s="24" t="str">
        <x:v>NoOverlap</x:v>
      </x:c>
      <x:c r="M16" s="24" t="str">
        <x:v>Carte KPI fusionnée ; ses objets internes sont contrôlés par Template_Card</x:v>
      </x:c>
    </x:row>
    <x:row r="17">
      <x:c r="A17" s="24" t="str">
        <x:v>Performance</x:v>
      </x:c>
      <x:c r="B17" s="24" t="str">
        <x:v>G03_KPI_Row</x:v>
      </x:c>
      <x:c r="C17" s="24" t="str">
        <x:v>KPI_Card_05</x:v>
      </x:c>
      <x:c r="D17" s="24" t="str">
        <x:v>Composite card group</x:v>
      </x:c>
      <x:c r="E17" s="25" t="n">
        <x:v>1232</x:v>
      </x:c>
      <x:c r="F17" s="25" t="n">
        <x:v>330</x:v>
      </x:c>
      <x:c r="G17" s="25" t="n">
        <x:v>287</x:v>
      </x:c>
      <x:c r="H17" s="25" t="n">
        <x:v>180</x:v>
      </x:c>
      <x:c r="I17" s="25" t="n">
        <x:f>E17+G17</x:f>
        <x:v>1519</x:v>
      </x:c>
      <x:c r="J17" s="25" t="n">
        <x:f>F17+H17</x:f>
        <x:v>510</x:v>
      </x:c>
      <x:c r="K17" s="25" t="n">
        <x:v>15</x:v>
      </x:c>
      <x:c r="L17" s="24" t="str">
        <x:v>NoOverlap</x:v>
      </x:c>
      <x:c r="M17" s="24" t="str">
        <x:v>Carte KPI fusionnée ; ses objets internes sont contrôlés par Template_Card</x:v>
      </x:c>
    </x:row>
    <x:row r="18">
      <x:c r="A18" s="24" t="str">
        <x:v>Affaires</x:v>
      </x:c>
      <x:c r="B18" s="24" t="str">
        <x:v>G00_Header_Global</x:v>
      </x:c>
      <x:c r="C18" s="24" t="str">
        <x:v>Header_Global</x:v>
      </x:c>
      <x:c r="D18" s="24" t="str">
        <x:v>Shape+buttons+slicer</x:v>
      </x:c>
      <x:c r="E18" s="25" t="n">
        <x:v>0</x:v>
      </x:c>
      <x:c r="F18" s="25" t="n">
        <x:v>0</x:v>
      </x:c>
      <x:c r="G18" s="25" t="n">
        <x:v>1540</x:v>
      </x:c>
      <x:c r="H18" s="25" t="n">
        <x:v>88</x:v>
      </x:c>
      <x:c r="I18" s="25" t="n">
        <x:f>E18+G18</x:f>
        <x:v>1540</x:v>
      </x:c>
      <x:c r="J18" s="25" t="n">
        <x:f>F18+H18</x:f>
        <x:v>88</x:v>
      </x:c>
      <x:c r="K18" s="25" t="n">
        <x:v>1</x:v>
      </x:c>
      <x:c r="L18" s="24" t="str">
        <x:v>NoOverlap</x:v>
      </x:c>
      <x:c r="M18" s="24" t="str">
        <x:v>Bandeau fixe de navigation</x:v>
      </x:c>
    </x:row>
    <x:row r="19">
      <x:c r="A19" s="24" t="str">
        <x:v>Affaires</x:v>
      </x:c>
      <x:c r="B19" s="24" t="str">
        <x:v>G01_Title_Zone</x:v>
      </x:c>
      <x:c r="C19" s="24" t="str">
        <x:v>Title_Zone</x:v>
      </x:c>
      <x:c r="D19" s="24" t="str">
        <x:v>Shape+text+pills</x:v>
      </x:c>
      <x:c r="E19" s="25" t="n">
        <x:v>20</x:v>
      </x:c>
      <x:c r="F19" s="25" t="n">
        <x:v>110</x:v>
      </x:c>
      <x:c r="G19" s="25" t="n">
        <x:v>1500</x:v>
      </x:c>
      <x:c r="H19" s="25" t="n">
        <x:v>132</x:v>
      </x:c>
      <x:c r="I19" s="25" t="n">
        <x:f>E19+G19</x:f>
        <x:v>1520</x:v>
      </x:c>
      <x:c r="J19" s="25" t="n">
        <x:f>F19+H19</x:f>
        <x:v>242</x:v>
      </x:c>
      <x:c r="K19" s="25" t="n">
        <x:v>2</x:v>
      </x:c>
      <x:c r="L19" s="24" t="str">
        <x:v>NoOverlap</x:v>
      </x:c>
      <x:c r="M19" s="24" t="str">
        <x:v>Zone titre bleue</x:v>
      </x:c>
    </x:row>
    <x:row r="20">
      <x:c r="A20" s="24" t="str">
        <x:v>Affaires</x:v>
      </x:c>
      <x:c r="B20" s="24" t="str">
        <x:v>G02_Toolbar</x:v>
      </x:c>
      <x:c r="C20" s="24" t="str">
        <x:v>Toolbar_Slicers_FieldParams</x:v>
      </x:c>
      <x:c r="D20" s="24" t="str">
        <x:v>Buttons+slicers</x:v>
      </x:c>
      <x:c r="E20" s="25" t="n">
        <x:v>20</x:v>
      </x:c>
      <x:c r="F20" s="25" t="n">
        <x:v>260</x:v>
      </x:c>
      <x:c r="G20" s="25" t="n">
        <x:v>1500</x:v>
      </x:c>
      <x:c r="H20" s="25" t="n">
        <x:v>56</x:v>
      </x:c>
      <x:c r="I20" s="25" t="n">
        <x:f>E20+G20</x:f>
        <x:v>1520</x:v>
      </x:c>
      <x:c r="J20" s="25" t="n">
        <x:f>F20+H20</x:f>
        <x:v>316</x:v>
      </x:c>
      <x:c r="K20" s="25" t="n">
        <x:v>3</x:v>
      </x:c>
      <x:c r="L20" s="24" t="str">
        <x:v>NoOverlap</x:v>
      </x:c>
      <x:c r="M20" s="24" t="str">
        <x:v>Slicers et field parameters</x:v>
      </x:c>
    </x:row>
    <x:row r="21">
      <x:c r="A21" s="24" t="str">
        <x:v>Affaires</x:v>
      </x:c>
      <x:c r="B21" s="24" t="str">
        <x:v>G03_KPI_Row</x:v>
      </x:c>
      <x:c r="C21" s="24" t="str">
        <x:v>KPI_Card_01</x:v>
      </x:c>
      <x:c r="D21" s="24" t="str">
        <x:v>Composite card group</x:v>
      </x:c>
      <x:c r="E21" s="25" t="n">
        <x:v>20</x:v>
      </x:c>
      <x:c r="F21" s="25" t="n">
        <x:v>330</x:v>
      </x:c>
      <x:c r="G21" s="25" t="n">
        <x:v>287</x:v>
      </x:c>
      <x:c r="H21" s="25" t="n">
        <x:v>180</x:v>
      </x:c>
      <x:c r="I21" s="25" t="n">
        <x:f>E21+G21</x:f>
        <x:v>307</x:v>
      </x:c>
      <x:c r="J21" s="25" t="n">
        <x:f>F21+H21</x:f>
        <x:v>510</x:v>
      </x:c>
      <x:c r="K21" s="25" t="n">
        <x:v>11</x:v>
      </x:c>
      <x:c r="L21" s="24" t="str">
        <x:v>NoOverlap</x:v>
      </x:c>
      <x:c r="M21" s="24" t="str">
        <x:v>Carte KPI fusionnée ; ses objets internes sont contrôlés par Template_Card</x:v>
      </x:c>
    </x:row>
    <x:row r="22">
      <x:c r="A22" s="24" t="str">
        <x:v>Affaires</x:v>
      </x:c>
      <x:c r="B22" s="24" t="str">
        <x:v>G03_KPI_Row</x:v>
      </x:c>
      <x:c r="C22" s="24" t="str">
        <x:v>KPI_Card_02</x:v>
      </x:c>
      <x:c r="D22" s="24" t="str">
        <x:v>Composite card group</x:v>
      </x:c>
      <x:c r="E22" s="25" t="n">
        <x:v>323</x:v>
      </x:c>
      <x:c r="F22" s="25" t="n">
        <x:v>330</x:v>
      </x:c>
      <x:c r="G22" s="25" t="n">
        <x:v>287</x:v>
      </x:c>
      <x:c r="H22" s="25" t="n">
        <x:v>180</x:v>
      </x:c>
      <x:c r="I22" s="25" t="n">
        <x:f>E22+G22</x:f>
        <x:v>610</x:v>
      </x:c>
      <x:c r="J22" s="25" t="n">
        <x:f>F22+H22</x:f>
        <x:v>510</x:v>
      </x:c>
      <x:c r="K22" s="25" t="n">
        <x:v>12</x:v>
      </x:c>
      <x:c r="L22" s="24" t="str">
        <x:v>NoOverlap</x:v>
      </x:c>
      <x:c r="M22" s="24" t="str">
        <x:v>Carte KPI fusionnée ; ses objets internes sont contrôlés par Template_Card</x:v>
      </x:c>
    </x:row>
    <x:row r="23">
      <x:c r="A23" s="24" t="str">
        <x:v>Affaires</x:v>
      </x:c>
      <x:c r="B23" s="24" t="str">
        <x:v>G03_KPI_Row</x:v>
      </x:c>
      <x:c r="C23" s="24" t="str">
        <x:v>KPI_Card_03</x:v>
      </x:c>
      <x:c r="D23" s="24" t="str">
        <x:v>Composite card group</x:v>
      </x:c>
      <x:c r="E23" s="25" t="n">
        <x:v>626</x:v>
      </x:c>
      <x:c r="F23" s="25" t="n">
        <x:v>330</x:v>
      </x:c>
      <x:c r="G23" s="25" t="n">
        <x:v>287</x:v>
      </x:c>
      <x:c r="H23" s="25" t="n">
        <x:v>180</x:v>
      </x:c>
      <x:c r="I23" s="25" t="n">
        <x:f>E23+G23</x:f>
        <x:v>913</x:v>
      </x:c>
      <x:c r="J23" s="25" t="n">
        <x:f>F23+H23</x:f>
        <x:v>510</x:v>
      </x:c>
      <x:c r="K23" s="25" t="n">
        <x:v>13</x:v>
      </x:c>
      <x:c r="L23" s="24" t="str">
        <x:v>NoOverlap</x:v>
      </x:c>
      <x:c r="M23" s="24" t="str">
        <x:v>Carte KPI fusionnée ; ses objets internes sont contrôlés par Template_Card</x:v>
      </x:c>
    </x:row>
    <x:row r="24">
      <x:c r="A24" s="24" t="str">
        <x:v>Affaires</x:v>
      </x:c>
      <x:c r="B24" s="24" t="str">
        <x:v>G03_KPI_Row</x:v>
      </x:c>
      <x:c r="C24" s="24" t="str">
        <x:v>KPI_Card_04</x:v>
      </x:c>
      <x:c r="D24" s="24" t="str">
        <x:v>Composite card group</x:v>
      </x:c>
      <x:c r="E24" s="25" t="n">
        <x:v>929</x:v>
      </x:c>
      <x:c r="F24" s="25" t="n">
        <x:v>330</x:v>
      </x:c>
      <x:c r="G24" s="25" t="n">
        <x:v>287</x:v>
      </x:c>
      <x:c r="H24" s="25" t="n">
        <x:v>180</x:v>
      </x:c>
      <x:c r="I24" s="25" t="n">
        <x:f>E24+G24</x:f>
        <x:v>1216</x:v>
      </x:c>
      <x:c r="J24" s="25" t="n">
        <x:f>F24+H24</x:f>
        <x:v>510</x:v>
      </x:c>
      <x:c r="K24" s="25" t="n">
        <x:v>14</x:v>
      </x:c>
      <x:c r="L24" s="24" t="str">
        <x:v>NoOverlap</x:v>
      </x:c>
      <x:c r="M24" s="24" t="str">
        <x:v>Carte KPI fusionnée ; ses objets internes sont contrôlés par Template_Card</x:v>
      </x:c>
    </x:row>
    <x:row r="25">
      <x:c r="A25" s="24" t="str">
        <x:v>Affaires</x:v>
      </x:c>
      <x:c r="B25" s="24" t="str">
        <x:v>G03_KPI_Row</x:v>
      </x:c>
      <x:c r="C25" s="24" t="str">
        <x:v>KPI_Card_05</x:v>
      </x:c>
      <x:c r="D25" s="24" t="str">
        <x:v>Composite card group</x:v>
      </x:c>
      <x:c r="E25" s="25" t="n">
        <x:v>1232</x:v>
      </x:c>
      <x:c r="F25" s="25" t="n">
        <x:v>330</x:v>
      </x:c>
      <x:c r="G25" s="25" t="n">
        <x:v>287</x:v>
      </x:c>
      <x:c r="H25" s="25" t="n">
        <x:v>180</x:v>
      </x:c>
      <x:c r="I25" s="25" t="n">
        <x:f>E25+G25</x:f>
        <x:v>1519</x:v>
      </x:c>
      <x:c r="J25" s="25" t="n">
        <x:f>F25+H25</x:f>
        <x:v>510</x:v>
      </x:c>
      <x:c r="K25" s="25" t="n">
        <x:v>15</x:v>
      </x:c>
      <x:c r="L25" s="24" t="str">
        <x:v>NoOverlap</x:v>
      </x:c>
      <x:c r="M25" s="24" t="str">
        <x:v>Carte KPI fusionnée ; ses objets internes sont contrôlés par Template_Card</x:v>
      </x:c>
    </x:row>
    <x:row r="26">
      <x:c r="A26" s="24" t="str">
        <x:v>Réseau MIA</x:v>
      </x:c>
      <x:c r="B26" s="24" t="str">
        <x:v>G00_Header_Global</x:v>
      </x:c>
      <x:c r="C26" s="24" t="str">
        <x:v>Header_Global</x:v>
      </x:c>
      <x:c r="D26" s="24" t="str">
        <x:v>Shape+buttons+slicer</x:v>
      </x:c>
      <x:c r="E26" s="25" t="n">
        <x:v>0</x:v>
      </x:c>
      <x:c r="F26" s="25" t="n">
        <x:v>0</x:v>
      </x:c>
      <x:c r="G26" s="25" t="n">
        <x:v>1540</x:v>
      </x:c>
      <x:c r="H26" s="25" t="n">
        <x:v>88</x:v>
      </x:c>
      <x:c r="I26" s="25" t="n">
        <x:f>E26+G26</x:f>
        <x:v>1540</x:v>
      </x:c>
      <x:c r="J26" s="25" t="n">
        <x:f>F26+H26</x:f>
        <x:v>88</x:v>
      </x:c>
      <x:c r="K26" s="25" t="n">
        <x:v>1</x:v>
      </x:c>
      <x:c r="L26" s="24" t="str">
        <x:v>NoOverlap</x:v>
      </x:c>
      <x:c r="M26" s="24" t="str">
        <x:v>Bandeau fixe de navigation</x:v>
      </x:c>
    </x:row>
    <x:row r="27">
      <x:c r="A27" s="24" t="str">
        <x:v>Réseau MIA</x:v>
      </x:c>
      <x:c r="B27" s="24" t="str">
        <x:v>G01_Title_Zone</x:v>
      </x:c>
      <x:c r="C27" s="24" t="str">
        <x:v>Title_Zone</x:v>
      </x:c>
      <x:c r="D27" s="24" t="str">
        <x:v>Shape+text+pills</x:v>
      </x:c>
      <x:c r="E27" s="25" t="n">
        <x:v>20</x:v>
      </x:c>
      <x:c r="F27" s="25" t="n">
        <x:v>110</x:v>
      </x:c>
      <x:c r="G27" s="25" t="n">
        <x:v>1500</x:v>
      </x:c>
      <x:c r="H27" s="25" t="n">
        <x:v>132</x:v>
      </x:c>
      <x:c r="I27" s="25" t="n">
        <x:f>E27+G27</x:f>
        <x:v>1520</x:v>
      </x:c>
      <x:c r="J27" s="25" t="n">
        <x:f>F27+H27</x:f>
        <x:v>242</x:v>
      </x:c>
      <x:c r="K27" s="25" t="n">
        <x:v>2</x:v>
      </x:c>
      <x:c r="L27" s="24" t="str">
        <x:v>NoOverlap</x:v>
      </x:c>
      <x:c r="M27" s="24" t="str">
        <x:v>Zone titre bleue</x:v>
      </x:c>
    </x:row>
    <x:row r="28">
      <x:c r="A28" s="24" t="str">
        <x:v>Réseau MIA</x:v>
      </x:c>
      <x:c r="B28" s="24" t="str">
        <x:v>G02_Toolbar</x:v>
      </x:c>
      <x:c r="C28" s="24" t="str">
        <x:v>Toolbar_Slicers_FieldParams</x:v>
      </x:c>
      <x:c r="D28" s="24" t="str">
        <x:v>Buttons+slicers</x:v>
      </x:c>
      <x:c r="E28" s="25" t="n">
        <x:v>20</x:v>
      </x:c>
      <x:c r="F28" s="25" t="n">
        <x:v>260</x:v>
      </x:c>
      <x:c r="G28" s="25" t="n">
        <x:v>1500</x:v>
      </x:c>
      <x:c r="H28" s="25" t="n">
        <x:v>56</x:v>
      </x:c>
      <x:c r="I28" s="25" t="n">
        <x:f>E28+G28</x:f>
        <x:v>1520</x:v>
      </x:c>
      <x:c r="J28" s="25" t="n">
        <x:f>F28+H28</x:f>
        <x:v>316</x:v>
      </x:c>
      <x:c r="K28" s="25" t="n">
        <x:v>3</x:v>
      </x:c>
      <x:c r="L28" s="24" t="str">
        <x:v>NoOverlap</x:v>
      </x:c>
      <x:c r="M28" s="24" t="str">
        <x:v>Slicers et field parameters</x:v>
      </x:c>
    </x:row>
    <x:row r="29">
      <x:c r="A29" s="24" t="str">
        <x:v>Réseau MIA</x:v>
      </x:c>
      <x:c r="B29" s="24" t="str">
        <x:v>G03_KPI_Row</x:v>
      </x:c>
      <x:c r="C29" s="24" t="str">
        <x:v>KPI_Card_01</x:v>
      </x:c>
      <x:c r="D29" s="24" t="str">
        <x:v>Composite card group</x:v>
      </x:c>
      <x:c r="E29" s="25" t="n">
        <x:v>20</x:v>
      </x:c>
      <x:c r="F29" s="25" t="n">
        <x:v>330</x:v>
      </x:c>
      <x:c r="G29" s="25" t="n">
        <x:v>287</x:v>
      </x:c>
      <x:c r="H29" s="25" t="n">
        <x:v>180</x:v>
      </x:c>
      <x:c r="I29" s="25" t="n">
        <x:f>E29+G29</x:f>
        <x:v>307</x:v>
      </x:c>
      <x:c r="J29" s="25" t="n">
        <x:f>F29+H29</x:f>
        <x:v>510</x:v>
      </x:c>
      <x:c r="K29" s="25" t="n">
        <x:v>11</x:v>
      </x:c>
      <x:c r="L29" s="24" t="str">
        <x:v>NoOverlap</x:v>
      </x:c>
      <x:c r="M29" s="24" t="str">
        <x:v>Carte KPI fusionnée ; ses objets internes sont contrôlés par Template_Card</x:v>
      </x:c>
    </x:row>
    <x:row r="30">
      <x:c r="A30" s="24" t="str">
        <x:v>Réseau MIA</x:v>
      </x:c>
      <x:c r="B30" s="24" t="str">
        <x:v>G03_KPI_Row</x:v>
      </x:c>
      <x:c r="C30" s="24" t="str">
        <x:v>KPI_Card_02</x:v>
      </x:c>
      <x:c r="D30" s="24" t="str">
        <x:v>Composite card group</x:v>
      </x:c>
      <x:c r="E30" s="25" t="n">
        <x:v>323</x:v>
      </x:c>
      <x:c r="F30" s="25" t="n">
        <x:v>330</x:v>
      </x:c>
      <x:c r="G30" s="25" t="n">
        <x:v>287</x:v>
      </x:c>
      <x:c r="H30" s="25" t="n">
        <x:v>180</x:v>
      </x:c>
      <x:c r="I30" s="25" t="n">
        <x:f>E30+G30</x:f>
        <x:v>610</x:v>
      </x:c>
      <x:c r="J30" s="25" t="n">
        <x:f>F30+H30</x:f>
        <x:v>510</x:v>
      </x:c>
      <x:c r="K30" s="25" t="n">
        <x:v>12</x:v>
      </x:c>
      <x:c r="L30" s="24" t="str">
        <x:v>NoOverlap</x:v>
      </x:c>
      <x:c r="M30" s="24" t="str">
        <x:v>Carte KPI fusionnée ; ses objets internes sont contrôlés par Template_Card</x:v>
      </x:c>
    </x:row>
    <x:row r="31">
      <x:c r="A31" s="24" t="str">
        <x:v>Réseau MIA</x:v>
      </x:c>
      <x:c r="B31" s="24" t="str">
        <x:v>G03_KPI_Row</x:v>
      </x:c>
      <x:c r="C31" s="24" t="str">
        <x:v>KPI_Card_03</x:v>
      </x:c>
      <x:c r="D31" s="24" t="str">
        <x:v>Composite card group</x:v>
      </x:c>
      <x:c r="E31" s="25" t="n">
        <x:v>626</x:v>
      </x:c>
      <x:c r="F31" s="25" t="n">
        <x:v>330</x:v>
      </x:c>
      <x:c r="G31" s="25" t="n">
        <x:v>287</x:v>
      </x:c>
      <x:c r="H31" s="25" t="n">
        <x:v>180</x:v>
      </x:c>
      <x:c r="I31" s="25" t="n">
        <x:f>E31+G31</x:f>
        <x:v>913</x:v>
      </x:c>
      <x:c r="J31" s="25" t="n">
        <x:f>F31+H31</x:f>
        <x:v>510</x:v>
      </x:c>
      <x:c r="K31" s="25" t="n">
        <x:v>13</x:v>
      </x:c>
      <x:c r="L31" s="24" t="str">
        <x:v>NoOverlap</x:v>
      </x:c>
      <x:c r="M31" s="24" t="str">
        <x:v>Carte KPI fusionnée ; ses objets internes sont contrôlés par Template_Card</x:v>
      </x:c>
    </x:row>
    <x:row r="32">
      <x:c r="A32" s="24" t="str">
        <x:v>Réseau MIA</x:v>
      </x:c>
      <x:c r="B32" s="24" t="str">
        <x:v>G03_KPI_Row</x:v>
      </x:c>
      <x:c r="C32" s="24" t="str">
        <x:v>KPI_Card_04</x:v>
      </x:c>
      <x:c r="D32" s="24" t="str">
        <x:v>Composite card group</x:v>
      </x:c>
      <x:c r="E32" s="25" t="n">
        <x:v>929</x:v>
      </x:c>
      <x:c r="F32" s="25" t="n">
        <x:v>330</x:v>
      </x:c>
      <x:c r="G32" s="25" t="n">
        <x:v>287</x:v>
      </x:c>
      <x:c r="H32" s="25" t="n">
        <x:v>180</x:v>
      </x:c>
      <x:c r="I32" s="25" t="n">
        <x:f>E32+G32</x:f>
        <x:v>1216</x:v>
      </x:c>
      <x:c r="J32" s="25" t="n">
        <x:f>F32+H32</x:f>
        <x:v>510</x:v>
      </x:c>
      <x:c r="K32" s="25" t="n">
        <x:v>14</x:v>
      </x:c>
      <x:c r="L32" s="24" t="str">
        <x:v>NoOverlap</x:v>
      </x:c>
      <x:c r="M32" s="24" t="str">
        <x:v>Carte KPI fusionnée ; ses objets internes sont contrôlés par Template_Card</x:v>
      </x:c>
    </x:row>
    <x:row r="33">
      <x:c r="A33" s="24" t="str">
        <x:v>Réseau MIA</x:v>
      </x:c>
      <x:c r="B33" s="24" t="str">
        <x:v>G03_KPI_Row</x:v>
      </x:c>
      <x:c r="C33" s="24" t="str">
        <x:v>KPI_Card_05</x:v>
      </x:c>
      <x:c r="D33" s="24" t="str">
        <x:v>Composite card group</x:v>
      </x:c>
      <x:c r="E33" s="25" t="n">
        <x:v>1232</x:v>
      </x:c>
      <x:c r="F33" s="25" t="n">
        <x:v>330</x:v>
      </x:c>
      <x:c r="G33" s="25" t="n">
        <x:v>287</x:v>
      </x:c>
      <x:c r="H33" s="25" t="n">
        <x:v>180</x:v>
      </x:c>
      <x:c r="I33" s="25" t="n">
        <x:f>E33+G33</x:f>
        <x:v>1519</x:v>
      </x:c>
      <x:c r="J33" s="25" t="n">
        <x:f>F33+H33</x:f>
        <x:v>510</x:v>
      </x:c>
      <x:c r="K33" s="25" t="n">
        <x:v>15</x:v>
      </x:c>
      <x:c r="L33" s="24" t="str">
        <x:v>NoOverlap</x:v>
      </x:c>
      <x:c r="M33" s="24" t="str">
        <x:v>Carte KPI fusionnée ; ses objets internes sont contrôlés par Template_Card</x:v>
      </x:c>
    </x:row>
    <x:row r="34">
      <x:c r="A34" s="24" t="str">
        <x:v>Réseau MIA Tableau</x:v>
      </x:c>
      <x:c r="B34" s="24" t="str">
        <x:v>G00_Header_Global</x:v>
      </x:c>
      <x:c r="C34" s="24" t="str">
        <x:v>Header_Global</x:v>
      </x:c>
      <x:c r="D34" s="24" t="str">
        <x:v>Shape+buttons+slicer</x:v>
      </x:c>
      <x:c r="E34" s="25" t="n">
        <x:v>0</x:v>
      </x:c>
      <x:c r="F34" s="25" t="n">
        <x:v>0</x:v>
      </x:c>
      <x:c r="G34" s="25" t="n">
        <x:v>1540</x:v>
      </x:c>
      <x:c r="H34" s="25" t="n">
        <x:v>88</x:v>
      </x:c>
      <x:c r="I34" s="25" t="n">
        <x:f>E34+G34</x:f>
        <x:v>1540</x:v>
      </x:c>
      <x:c r="J34" s="25" t="n">
        <x:f>F34+H34</x:f>
        <x:v>88</x:v>
      </x:c>
      <x:c r="K34" s="25" t="n">
        <x:v>1</x:v>
      </x:c>
      <x:c r="L34" s="24" t="str">
        <x:v>NoOverlap</x:v>
      </x:c>
      <x:c r="M34" s="24" t="str">
        <x:v>Bandeau fixe de navigation</x:v>
      </x:c>
    </x:row>
    <x:row r="35">
      <x:c r="A35" s="24" t="str">
        <x:v>Réseau MIA Tableau</x:v>
      </x:c>
      <x:c r="B35" s="24" t="str">
        <x:v>G01_Title_Zone</x:v>
      </x:c>
      <x:c r="C35" s="24" t="str">
        <x:v>Title_Zone</x:v>
      </x:c>
      <x:c r="D35" s="24" t="str">
        <x:v>Shape+text+pills</x:v>
      </x:c>
      <x:c r="E35" s="25" t="n">
        <x:v>20</x:v>
      </x:c>
      <x:c r="F35" s="25" t="n">
        <x:v>110</x:v>
      </x:c>
      <x:c r="G35" s="25" t="n">
        <x:v>1500</x:v>
      </x:c>
      <x:c r="H35" s="25" t="n">
        <x:v>132</x:v>
      </x:c>
      <x:c r="I35" s="25" t="n">
        <x:f>E35+G35</x:f>
        <x:v>1520</x:v>
      </x:c>
      <x:c r="J35" s="25" t="n">
        <x:f>F35+H35</x:f>
        <x:v>242</x:v>
      </x:c>
      <x:c r="K35" s="25" t="n">
        <x:v>2</x:v>
      </x:c>
      <x:c r="L35" s="24" t="str">
        <x:v>NoOverlap</x:v>
      </x:c>
      <x:c r="M35" s="24" t="str">
        <x:v>Zone titre bleue</x:v>
      </x:c>
    </x:row>
    <x:row r="36">
      <x:c r="A36" s="24" t="str">
        <x:v>Réseau MIA Tableau</x:v>
      </x:c>
      <x:c r="B36" s="24" t="str">
        <x:v>G02_Toolbar</x:v>
      </x:c>
      <x:c r="C36" s="24" t="str">
        <x:v>Toolbar_Slicers_FieldParams</x:v>
      </x:c>
      <x:c r="D36" s="24" t="str">
        <x:v>Buttons+slicers</x:v>
      </x:c>
      <x:c r="E36" s="25" t="n">
        <x:v>20</x:v>
      </x:c>
      <x:c r="F36" s="25" t="n">
        <x:v>260</x:v>
      </x:c>
      <x:c r="G36" s="25" t="n">
        <x:v>1500</x:v>
      </x:c>
      <x:c r="H36" s="25" t="n">
        <x:v>56</x:v>
      </x:c>
      <x:c r="I36" s="25" t="n">
        <x:f>E36+G36</x:f>
        <x:v>1520</x:v>
      </x:c>
      <x:c r="J36" s="25" t="n">
        <x:f>F36+H36</x:f>
        <x:v>316</x:v>
      </x:c>
      <x:c r="K36" s="25" t="n">
        <x:v>3</x:v>
      </x:c>
      <x:c r="L36" s="24" t="str">
        <x:v>NoOverlap</x:v>
      </x:c>
      <x:c r="M36" s="24" t="str">
        <x:v>Slicers et field parameters</x:v>
      </x:c>
    </x:row>
    <x:row r="37">
      <x:c r="A37" s="24" t="str">
        <x:v>Réseau MIA Tableau</x:v>
      </x:c>
      <x:c r="B37" s="24" t="str">
        <x:v>G03_KPI_Row</x:v>
      </x:c>
      <x:c r="C37" s="24" t="str">
        <x:v>KPI_Card_01</x:v>
      </x:c>
      <x:c r="D37" s="24" t="str">
        <x:v>Composite card group</x:v>
      </x:c>
      <x:c r="E37" s="25" t="n">
        <x:v>20</x:v>
      </x:c>
      <x:c r="F37" s="25" t="n">
        <x:v>330</x:v>
      </x:c>
      <x:c r="G37" s="25" t="n">
        <x:v>287</x:v>
      </x:c>
      <x:c r="H37" s="25" t="n">
        <x:v>180</x:v>
      </x:c>
      <x:c r="I37" s="25" t="n">
        <x:f>E37+G37</x:f>
        <x:v>307</x:v>
      </x:c>
      <x:c r="J37" s="25" t="n">
        <x:f>F37+H37</x:f>
        <x:v>510</x:v>
      </x:c>
      <x:c r="K37" s="25" t="n">
        <x:v>11</x:v>
      </x:c>
      <x:c r="L37" s="24" t="str">
        <x:v>NoOverlap</x:v>
      </x:c>
      <x:c r="M37" s="24" t="str">
        <x:v>Carte KPI fusionnée ; ses objets internes sont contrôlés par Template_Card</x:v>
      </x:c>
    </x:row>
    <x:row r="38">
      <x:c r="A38" s="24" t="str">
        <x:v>Réseau MIA Tableau</x:v>
      </x:c>
      <x:c r="B38" s="24" t="str">
        <x:v>G03_KPI_Row</x:v>
      </x:c>
      <x:c r="C38" s="24" t="str">
        <x:v>KPI_Card_02</x:v>
      </x:c>
      <x:c r="D38" s="24" t="str">
        <x:v>Composite card group</x:v>
      </x:c>
      <x:c r="E38" s="25" t="n">
        <x:v>323</x:v>
      </x:c>
      <x:c r="F38" s="25" t="n">
        <x:v>330</x:v>
      </x:c>
      <x:c r="G38" s="25" t="n">
        <x:v>287</x:v>
      </x:c>
      <x:c r="H38" s="25" t="n">
        <x:v>180</x:v>
      </x:c>
      <x:c r="I38" s="25" t="n">
        <x:f>E38+G38</x:f>
        <x:v>610</x:v>
      </x:c>
      <x:c r="J38" s="25" t="n">
        <x:f>F38+H38</x:f>
        <x:v>510</x:v>
      </x:c>
      <x:c r="K38" s="25" t="n">
        <x:v>12</x:v>
      </x:c>
      <x:c r="L38" s="24" t="str">
        <x:v>NoOverlap</x:v>
      </x:c>
      <x:c r="M38" s="24" t="str">
        <x:v>Carte KPI fusionnée ; ses objets internes sont contrôlés par Template_Card</x:v>
      </x:c>
    </x:row>
    <x:row r="39">
      <x:c r="A39" s="24" t="str">
        <x:v>Réseau MIA Tableau</x:v>
      </x:c>
      <x:c r="B39" s="24" t="str">
        <x:v>G03_KPI_Row</x:v>
      </x:c>
      <x:c r="C39" s="24" t="str">
        <x:v>KPI_Card_03</x:v>
      </x:c>
      <x:c r="D39" s="24" t="str">
        <x:v>Composite card group</x:v>
      </x:c>
      <x:c r="E39" s="25" t="n">
        <x:v>626</x:v>
      </x:c>
      <x:c r="F39" s="25" t="n">
        <x:v>330</x:v>
      </x:c>
      <x:c r="G39" s="25" t="n">
        <x:v>287</x:v>
      </x:c>
      <x:c r="H39" s="25" t="n">
        <x:v>180</x:v>
      </x:c>
      <x:c r="I39" s="25" t="n">
        <x:f>E39+G39</x:f>
        <x:v>913</x:v>
      </x:c>
      <x:c r="J39" s="25" t="n">
        <x:f>F39+H39</x:f>
        <x:v>510</x:v>
      </x:c>
      <x:c r="K39" s="25" t="n">
        <x:v>13</x:v>
      </x:c>
      <x:c r="L39" s="24" t="str">
        <x:v>NoOverlap</x:v>
      </x:c>
      <x:c r="M39" s="24" t="str">
        <x:v>Carte KPI fusionnée ; ses objets internes sont contrôlés par Template_Card</x:v>
      </x:c>
    </x:row>
    <x:row r="40">
      <x:c r="A40" s="24" t="str">
        <x:v>Réseau MIA Tableau</x:v>
      </x:c>
      <x:c r="B40" s="24" t="str">
        <x:v>G03_KPI_Row</x:v>
      </x:c>
      <x:c r="C40" s="24" t="str">
        <x:v>KPI_Card_04</x:v>
      </x:c>
      <x:c r="D40" s="24" t="str">
        <x:v>Composite card group</x:v>
      </x:c>
      <x:c r="E40" s="25" t="n">
        <x:v>929</x:v>
      </x:c>
      <x:c r="F40" s="25" t="n">
        <x:v>330</x:v>
      </x:c>
      <x:c r="G40" s="25" t="n">
        <x:v>287</x:v>
      </x:c>
      <x:c r="H40" s="25" t="n">
        <x:v>180</x:v>
      </x:c>
      <x:c r="I40" s="25" t="n">
        <x:f>E40+G40</x:f>
        <x:v>1216</x:v>
      </x:c>
      <x:c r="J40" s="25" t="n">
        <x:f>F40+H40</x:f>
        <x:v>510</x:v>
      </x:c>
      <x:c r="K40" s="25" t="n">
        <x:v>14</x:v>
      </x:c>
      <x:c r="L40" s="24" t="str">
        <x:v>NoOverlap</x:v>
      </x:c>
      <x:c r="M40" s="24" t="str">
        <x:v>Carte KPI fusionnée ; ses objets internes sont contrôlés par Template_Card</x:v>
      </x:c>
    </x:row>
    <x:row r="41">
      <x:c r="A41" s="24" t="str">
        <x:v>Réseau MIA Tableau</x:v>
      </x:c>
      <x:c r="B41" s="24" t="str">
        <x:v>G03_KPI_Row</x:v>
      </x:c>
      <x:c r="C41" s="24" t="str">
        <x:v>KPI_Card_05</x:v>
      </x:c>
      <x:c r="D41" s="24" t="str">
        <x:v>Composite card group</x:v>
      </x:c>
      <x:c r="E41" s="25" t="n">
        <x:v>1232</x:v>
      </x:c>
      <x:c r="F41" s="25" t="n">
        <x:v>330</x:v>
      </x:c>
      <x:c r="G41" s="25" t="n">
        <x:v>287</x:v>
      </x:c>
      <x:c r="H41" s="25" t="n">
        <x:v>180</x:v>
      </x:c>
      <x:c r="I41" s="25" t="n">
        <x:f>E41+G41</x:f>
        <x:v>1519</x:v>
      </x:c>
      <x:c r="J41" s="25" t="n">
        <x:f>F41+H41</x:f>
        <x:v>510</x:v>
      </x:c>
      <x:c r="K41" s="25" t="n">
        <x:v>15</x:v>
      </x:c>
      <x:c r="L41" s="24" t="str">
        <x:v>NoOverlap</x:v>
      </x:c>
      <x:c r="M41" s="24" t="str">
        <x:v>Carte KPI fusionnée ; ses objets internes sont contrôlés par Template_Card</x:v>
      </x:c>
    </x:row>
    <x:row r="42">
      <x:c r="A42" s="24" t="str">
        <x:v>Rendez-vous</x:v>
      </x:c>
      <x:c r="B42" s="24" t="str">
        <x:v>G00_Header_Global</x:v>
      </x:c>
      <x:c r="C42" s="24" t="str">
        <x:v>Header_Global</x:v>
      </x:c>
      <x:c r="D42" s="24" t="str">
        <x:v>Shape+buttons+slicer</x:v>
      </x:c>
      <x:c r="E42" s="25" t="n">
        <x:v>0</x:v>
      </x:c>
      <x:c r="F42" s="25" t="n">
        <x:v>0</x:v>
      </x:c>
      <x:c r="G42" s="25" t="n">
        <x:v>1540</x:v>
      </x:c>
      <x:c r="H42" s="25" t="n">
        <x:v>88</x:v>
      </x:c>
      <x:c r="I42" s="25" t="n">
        <x:f>E42+G42</x:f>
        <x:v>1540</x:v>
      </x:c>
      <x:c r="J42" s="25" t="n">
        <x:f>F42+H42</x:f>
        <x:v>88</x:v>
      </x:c>
      <x:c r="K42" s="25" t="n">
        <x:v>1</x:v>
      </x:c>
      <x:c r="L42" s="24" t="str">
        <x:v>NoOverlap</x:v>
      </x:c>
      <x:c r="M42" s="24" t="str">
        <x:v>Bandeau fixe de navigation</x:v>
      </x:c>
    </x:row>
    <x:row r="43">
      <x:c r="A43" s="24" t="str">
        <x:v>Rendez-vous</x:v>
      </x:c>
      <x:c r="B43" s="24" t="str">
        <x:v>G01_Title_Zone</x:v>
      </x:c>
      <x:c r="C43" s="24" t="str">
        <x:v>Title_Zone</x:v>
      </x:c>
      <x:c r="D43" s="24" t="str">
        <x:v>Shape+text+pills</x:v>
      </x:c>
      <x:c r="E43" s="25" t="n">
        <x:v>20</x:v>
      </x:c>
      <x:c r="F43" s="25" t="n">
        <x:v>110</x:v>
      </x:c>
      <x:c r="G43" s="25" t="n">
        <x:v>1500</x:v>
      </x:c>
      <x:c r="H43" s="25" t="n">
        <x:v>132</x:v>
      </x:c>
      <x:c r="I43" s="25" t="n">
        <x:f>E43+G43</x:f>
        <x:v>1520</x:v>
      </x:c>
      <x:c r="J43" s="25" t="n">
        <x:f>F43+H43</x:f>
        <x:v>242</x:v>
      </x:c>
      <x:c r="K43" s="25" t="n">
        <x:v>2</x:v>
      </x:c>
      <x:c r="L43" s="24" t="str">
        <x:v>NoOverlap</x:v>
      </x:c>
      <x:c r="M43" s="24" t="str">
        <x:v>Zone titre bleue</x:v>
      </x:c>
    </x:row>
    <x:row r="44">
      <x:c r="A44" s="24" t="str">
        <x:v>Rendez-vous</x:v>
      </x:c>
      <x:c r="B44" s="24" t="str">
        <x:v>G02_Toolbar</x:v>
      </x:c>
      <x:c r="C44" s="24" t="str">
        <x:v>Toolbar_Slicers_FieldParams</x:v>
      </x:c>
      <x:c r="D44" s="24" t="str">
        <x:v>Buttons+slicers</x:v>
      </x:c>
      <x:c r="E44" s="25" t="n">
        <x:v>20</x:v>
      </x:c>
      <x:c r="F44" s="25" t="n">
        <x:v>260</x:v>
      </x:c>
      <x:c r="G44" s="25" t="n">
        <x:v>1500</x:v>
      </x:c>
      <x:c r="H44" s="25" t="n">
        <x:v>56</x:v>
      </x:c>
      <x:c r="I44" s="25" t="n">
        <x:f>E44+G44</x:f>
        <x:v>1520</x:v>
      </x:c>
      <x:c r="J44" s="25" t="n">
        <x:f>F44+H44</x:f>
        <x:v>316</x:v>
      </x:c>
      <x:c r="K44" s="25" t="n">
        <x:v>3</x:v>
      </x:c>
      <x:c r="L44" s="24" t="str">
        <x:v>NoOverlap</x:v>
      </x:c>
      <x:c r="M44" s="24" t="str">
        <x:v>Slicers et field parameters</x:v>
      </x:c>
    </x:row>
    <x:row r="45">
      <x:c r="A45" s="24" t="str">
        <x:v>Rendez-vous</x:v>
      </x:c>
      <x:c r="B45" s="24" t="str">
        <x:v>G03_KPI_Row</x:v>
      </x:c>
      <x:c r="C45" s="24" t="str">
        <x:v>KPI_Card_01</x:v>
      </x:c>
      <x:c r="D45" s="24" t="str">
        <x:v>Composite card group</x:v>
      </x:c>
      <x:c r="E45" s="25" t="n">
        <x:v>20</x:v>
      </x:c>
      <x:c r="F45" s="25" t="n">
        <x:v>330</x:v>
      </x:c>
      <x:c r="G45" s="25" t="n">
        <x:v>287</x:v>
      </x:c>
      <x:c r="H45" s="25" t="n">
        <x:v>180</x:v>
      </x:c>
      <x:c r="I45" s="25" t="n">
        <x:f>E45+G45</x:f>
        <x:v>307</x:v>
      </x:c>
      <x:c r="J45" s="25" t="n">
        <x:f>F45+H45</x:f>
        <x:v>510</x:v>
      </x:c>
      <x:c r="K45" s="25" t="n">
        <x:v>11</x:v>
      </x:c>
      <x:c r="L45" s="24" t="str">
        <x:v>NoOverlap</x:v>
      </x:c>
      <x:c r="M45" s="24" t="str">
        <x:v>Carte KPI fusionnée ; ses objets internes sont contrôlés par Template_Card</x:v>
      </x:c>
    </x:row>
    <x:row r="46">
      <x:c r="A46" s="24" t="str">
        <x:v>Rendez-vous</x:v>
      </x:c>
      <x:c r="B46" s="24" t="str">
        <x:v>G03_KPI_Row</x:v>
      </x:c>
      <x:c r="C46" s="24" t="str">
        <x:v>KPI_Card_02</x:v>
      </x:c>
      <x:c r="D46" s="24" t="str">
        <x:v>Composite card group</x:v>
      </x:c>
      <x:c r="E46" s="25" t="n">
        <x:v>323</x:v>
      </x:c>
      <x:c r="F46" s="25" t="n">
        <x:v>330</x:v>
      </x:c>
      <x:c r="G46" s="25" t="n">
        <x:v>287</x:v>
      </x:c>
      <x:c r="H46" s="25" t="n">
        <x:v>180</x:v>
      </x:c>
      <x:c r="I46" s="25" t="n">
        <x:f>E46+G46</x:f>
        <x:v>610</x:v>
      </x:c>
      <x:c r="J46" s="25" t="n">
        <x:f>F46+H46</x:f>
        <x:v>510</x:v>
      </x:c>
      <x:c r="K46" s="25" t="n">
        <x:v>12</x:v>
      </x:c>
      <x:c r="L46" s="24" t="str">
        <x:v>NoOverlap</x:v>
      </x:c>
      <x:c r="M46" s="24" t="str">
        <x:v>Carte KPI fusionnée ; ses objets internes sont contrôlés par Template_Card</x:v>
      </x:c>
    </x:row>
    <x:row r="47">
      <x:c r="A47" s="24" t="str">
        <x:v>Rendez-vous</x:v>
      </x:c>
      <x:c r="B47" s="24" t="str">
        <x:v>G03_KPI_Row</x:v>
      </x:c>
      <x:c r="C47" s="24" t="str">
        <x:v>KPI_Card_03</x:v>
      </x:c>
      <x:c r="D47" s="24" t="str">
        <x:v>Composite card group</x:v>
      </x:c>
      <x:c r="E47" s="25" t="n">
        <x:v>626</x:v>
      </x:c>
      <x:c r="F47" s="25" t="n">
        <x:v>330</x:v>
      </x:c>
      <x:c r="G47" s="25" t="n">
        <x:v>287</x:v>
      </x:c>
      <x:c r="H47" s="25" t="n">
        <x:v>180</x:v>
      </x:c>
      <x:c r="I47" s="25" t="n">
        <x:f>E47+G47</x:f>
        <x:v>913</x:v>
      </x:c>
      <x:c r="J47" s="25" t="n">
        <x:f>F47+H47</x:f>
        <x:v>510</x:v>
      </x:c>
      <x:c r="K47" s="25" t="n">
        <x:v>13</x:v>
      </x:c>
      <x:c r="L47" s="24" t="str">
        <x:v>NoOverlap</x:v>
      </x:c>
      <x:c r="M47" s="24" t="str">
        <x:v>Carte KPI fusionnée ; ses objets internes sont contrôlés par Template_Card</x:v>
      </x:c>
    </x:row>
    <x:row r="48">
      <x:c r="A48" s="24" t="str">
        <x:v>Rendez-vous</x:v>
      </x:c>
      <x:c r="B48" s="24" t="str">
        <x:v>G03_KPI_Row</x:v>
      </x:c>
      <x:c r="C48" s="24" t="str">
        <x:v>KPI_Card_04</x:v>
      </x:c>
      <x:c r="D48" s="24" t="str">
        <x:v>Composite card group</x:v>
      </x:c>
      <x:c r="E48" s="25" t="n">
        <x:v>929</x:v>
      </x:c>
      <x:c r="F48" s="25" t="n">
        <x:v>330</x:v>
      </x:c>
      <x:c r="G48" s="25" t="n">
        <x:v>287</x:v>
      </x:c>
      <x:c r="H48" s="25" t="n">
        <x:v>180</x:v>
      </x:c>
      <x:c r="I48" s="25" t="n">
        <x:f>E48+G48</x:f>
        <x:v>1216</x:v>
      </x:c>
      <x:c r="J48" s="25" t="n">
        <x:f>F48+H48</x:f>
        <x:v>510</x:v>
      </x:c>
      <x:c r="K48" s="25" t="n">
        <x:v>14</x:v>
      </x:c>
      <x:c r="L48" s="24" t="str">
        <x:v>NoOverlap</x:v>
      </x:c>
      <x:c r="M48" s="24" t="str">
        <x:v>Carte KPI fusionnée ; ses objets internes sont contrôlés par Template_Card</x:v>
      </x:c>
    </x:row>
    <x:row r="49">
      <x:c r="A49" s="24" t="str">
        <x:v>Rendez-vous</x:v>
      </x:c>
      <x:c r="B49" s="24" t="str">
        <x:v>G03_KPI_Row</x:v>
      </x:c>
      <x:c r="C49" s="24" t="str">
        <x:v>KPI_Card_05</x:v>
      </x:c>
      <x:c r="D49" s="24" t="str">
        <x:v>Composite card group</x:v>
      </x:c>
      <x:c r="E49" s="25" t="n">
        <x:v>1232</x:v>
      </x:c>
      <x:c r="F49" s="25" t="n">
        <x:v>330</x:v>
      </x:c>
      <x:c r="G49" s="25" t="n">
        <x:v>287</x:v>
      </x:c>
      <x:c r="H49" s="25" t="n">
        <x:v>180</x:v>
      </x:c>
      <x:c r="I49" s="25" t="n">
        <x:f>E49+G49</x:f>
        <x:v>1519</x:v>
      </x:c>
      <x:c r="J49" s="25" t="n">
        <x:f>F49+H49</x:f>
        <x:v>510</x:v>
      </x:c>
      <x:c r="K49" s="25" t="n">
        <x:v>15</x:v>
      </x:c>
      <x:c r="L49" s="24" t="str">
        <x:v>NoOverlap</x:v>
      </x:c>
      <x:c r="M49" s="24" t="str">
        <x:v>Carte KPI fusionnée ; ses objets internes sont contrôlés par Template_Card</x:v>
      </x:c>
    </x:row>
    <x:row r="50">
      <x:c r="A50" s="24" t="str">
        <x:v>Alertes</x:v>
      </x:c>
      <x:c r="B50" s="24" t="str">
        <x:v>G00_Header_Global</x:v>
      </x:c>
      <x:c r="C50" s="24" t="str">
        <x:v>Header_Global</x:v>
      </x:c>
      <x:c r="D50" s="24" t="str">
        <x:v>Shape+buttons+slicer</x:v>
      </x:c>
      <x:c r="E50" s="25" t="n">
        <x:v>0</x:v>
      </x:c>
      <x:c r="F50" s="25" t="n">
        <x:v>0</x:v>
      </x:c>
      <x:c r="G50" s="25" t="n">
        <x:v>1540</x:v>
      </x:c>
      <x:c r="H50" s="25" t="n">
        <x:v>88</x:v>
      </x:c>
      <x:c r="I50" s="25" t="n">
        <x:f>E50+G50</x:f>
        <x:v>1540</x:v>
      </x:c>
      <x:c r="J50" s="25" t="n">
        <x:f>F50+H50</x:f>
        <x:v>88</x:v>
      </x:c>
      <x:c r="K50" s="25" t="n">
        <x:v>1</x:v>
      </x:c>
      <x:c r="L50" s="24" t="str">
        <x:v>NoOverlap</x:v>
      </x:c>
      <x:c r="M50" s="24" t="str">
        <x:v>Bandeau fixe de navigation</x:v>
      </x:c>
    </x:row>
    <x:row r="51">
      <x:c r="A51" s="24" t="str">
        <x:v>Alertes</x:v>
      </x:c>
      <x:c r="B51" s="24" t="str">
        <x:v>G01_Title_Zone</x:v>
      </x:c>
      <x:c r="C51" s="24" t="str">
        <x:v>Title_Zone</x:v>
      </x:c>
      <x:c r="D51" s="24" t="str">
        <x:v>Shape+text+pills</x:v>
      </x:c>
      <x:c r="E51" s="25" t="n">
        <x:v>20</x:v>
      </x:c>
      <x:c r="F51" s="25" t="n">
        <x:v>110</x:v>
      </x:c>
      <x:c r="G51" s="25" t="n">
        <x:v>1500</x:v>
      </x:c>
      <x:c r="H51" s="25" t="n">
        <x:v>132</x:v>
      </x:c>
      <x:c r="I51" s="25" t="n">
        <x:f>E51+G51</x:f>
        <x:v>1520</x:v>
      </x:c>
      <x:c r="J51" s="25" t="n">
        <x:f>F51+H51</x:f>
        <x:v>242</x:v>
      </x:c>
      <x:c r="K51" s="25" t="n">
        <x:v>2</x:v>
      </x:c>
      <x:c r="L51" s="24" t="str">
        <x:v>NoOverlap</x:v>
      </x:c>
      <x:c r="M51" s="24" t="str">
        <x:v>Zone titre bleue</x:v>
      </x:c>
    </x:row>
    <x:row r="52">
      <x:c r="A52" s="24" t="str">
        <x:v>Alertes</x:v>
      </x:c>
      <x:c r="B52" s="24" t="str">
        <x:v>G02_Toolbar</x:v>
      </x:c>
      <x:c r="C52" s="24" t="str">
        <x:v>Toolbar_Slicers_FieldParams</x:v>
      </x:c>
      <x:c r="D52" s="24" t="str">
        <x:v>Buttons+slicers</x:v>
      </x:c>
      <x:c r="E52" s="25" t="n">
        <x:v>20</x:v>
      </x:c>
      <x:c r="F52" s="25" t="n">
        <x:v>260</x:v>
      </x:c>
      <x:c r="G52" s="25" t="n">
        <x:v>1500</x:v>
      </x:c>
      <x:c r="H52" s="25" t="n">
        <x:v>56</x:v>
      </x:c>
      <x:c r="I52" s="25" t="n">
        <x:f>E52+G52</x:f>
        <x:v>1520</x:v>
      </x:c>
      <x:c r="J52" s="25" t="n">
        <x:f>F52+H52</x:f>
        <x:v>316</x:v>
      </x:c>
      <x:c r="K52" s="25" t="n">
        <x:v>3</x:v>
      </x:c>
      <x:c r="L52" s="24" t="str">
        <x:v>NoOverlap</x:v>
      </x:c>
      <x:c r="M52" s="24" t="str">
        <x:v>Slicers et field parameters</x:v>
      </x:c>
    </x:row>
    <x:row r="53">
      <x:c r="A53" s="24" t="str">
        <x:v>Alertes</x:v>
      </x:c>
      <x:c r="B53" s="24" t="str">
        <x:v>G03_KPI_Row</x:v>
      </x:c>
      <x:c r="C53" s="24" t="str">
        <x:v>KPI_Card_01</x:v>
      </x:c>
      <x:c r="D53" s="24" t="str">
        <x:v>Composite card group</x:v>
      </x:c>
      <x:c r="E53" s="25" t="n">
        <x:v>20</x:v>
      </x:c>
      <x:c r="F53" s="25" t="n">
        <x:v>330</x:v>
      </x:c>
      <x:c r="G53" s="25" t="n">
        <x:v>287</x:v>
      </x:c>
      <x:c r="H53" s="25" t="n">
        <x:v>180</x:v>
      </x:c>
      <x:c r="I53" s="25" t="n">
        <x:f>E53+G53</x:f>
        <x:v>307</x:v>
      </x:c>
      <x:c r="J53" s="25" t="n">
        <x:f>F53+H53</x:f>
        <x:v>510</x:v>
      </x:c>
      <x:c r="K53" s="25" t="n">
        <x:v>11</x:v>
      </x:c>
      <x:c r="L53" s="24" t="str">
        <x:v>NoOverlap</x:v>
      </x:c>
      <x:c r="M53" s="24" t="str">
        <x:v>Carte KPI fusionnée ; ses objets internes sont contrôlés par Template_Card</x:v>
      </x:c>
    </x:row>
    <x:row r="54">
      <x:c r="A54" s="24" t="str">
        <x:v>Alertes</x:v>
      </x:c>
      <x:c r="B54" s="24" t="str">
        <x:v>G03_KPI_Row</x:v>
      </x:c>
      <x:c r="C54" s="24" t="str">
        <x:v>KPI_Card_02</x:v>
      </x:c>
      <x:c r="D54" s="24" t="str">
        <x:v>Composite card group</x:v>
      </x:c>
      <x:c r="E54" s="25" t="n">
        <x:v>323</x:v>
      </x:c>
      <x:c r="F54" s="25" t="n">
        <x:v>330</x:v>
      </x:c>
      <x:c r="G54" s="25" t="n">
        <x:v>287</x:v>
      </x:c>
      <x:c r="H54" s="25" t="n">
        <x:v>180</x:v>
      </x:c>
      <x:c r="I54" s="25" t="n">
        <x:f>E54+G54</x:f>
        <x:v>610</x:v>
      </x:c>
      <x:c r="J54" s="25" t="n">
        <x:f>F54+H54</x:f>
        <x:v>510</x:v>
      </x:c>
      <x:c r="K54" s="25" t="n">
        <x:v>12</x:v>
      </x:c>
      <x:c r="L54" s="24" t="str">
        <x:v>NoOverlap</x:v>
      </x:c>
      <x:c r="M54" s="24" t="str">
        <x:v>Carte KPI fusionnée ; ses objets internes sont contrôlés par Template_Card</x:v>
      </x:c>
    </x:row>
    <x:row r="55">
      <x:c r="A55" s="24" t="str">
        <x:v>Alertes</x:v>
      </x:c>
      <x:c r="B55" s="24" t="str">
        <x:v>G03_KPI_Row</x:v>
      </x:c>
      <x:c r="C55" s="24" t="str">
        <x:v>KPI_Card_03</x:v>
      </x:c>
      <x:c r="D55" s="24" t="str">
        <x:v>Composite card group</x:v>
      </x:c>
      <x:c r="E55" s="25" t="n">
        <x:v>626</x:v>
      </x:c>
      <x:c r="F55" s="25" t="n">
        <x:v>330</x:v>
      </x:c>
      <x:c r="G55" s="25" t="n">
        <x:v>287</x:v>
      </x:c>
      <x:c r="H55" s="25" t="n">
        <x:v>180</x:v>
      </x:c>
      <x:c r="I55" s="25" t="n">
        <x:f>E55+G55</x:f>
        <x:v>913</x:v>
      </x:c>
      <x:c r="J55" s="25" t="n">
        <x:f>F55+H55</x:f>
        <x:v>510</x:v>
      </x:c>
      <x:c r="K55" s="25" t="n">
        <x:v>13</x:v>
      </x:c>
      <x:c r="L55" s="24" t="str">
        <x:v>NoOverlap</x:v>
      </x:c>
      <x:c r="M55" s="24" t="str">
        <x:v>Carte KPI fusionnée ; ses objets internes sont contrôlés par Template_Card</x:v>
      </x:c>
    </x:row>
    <x:row r="56">
      <x:c r="A56" s="24" t="str">
        <x:v>Alertes</x:v>
      </x:c>
      <x:c r="B56" s="24" t="str">
        <x:v>G03_KPI_Row</x:v>
      </x:c>
      <x:c r="C56" s="24" t="str">
        <x:v>KPI_Card_04</x:v>
      </x:c>
      <x:c r="D56" s="24" t="str">
        <x:v>Composite card group</x:v>
      </x:c>
      <x:c r="E56" s="25" t="n">
        <x:v>929</x:v>
      </x:c>
      <x:c r="F56" s="25" t="n">
        <x:v>330</x:v>
      </x:c>
      <x:c r="G56" s="25" t="n">
        <x:v>287</x:v>
      </x:c>
      <x:c r="H56" s="25" t="n">
        <x:v>180</x:v>
      </x:c>
      <x:c r="I56" s="25" t="n">
        <x:f>E56+G56</x:f>
        <x:v>1216</x:v>
      </x:c>
      <x:c r="J56" s="25" t="n">
        <x:f>F56+H56</x:f>
        <x:v>510</x:v>
      </x:c>
      <x:c r="K56" s="25" t="n">
        <x:v>14</x:v>
      </x:c>
      <x:c r="L56" s="24" t="str">
        <x:v>NoOverlap</x:v>
      </x:c>
      <x:c r="M56" s="24" t="str">
        <x:v>Carte KPI fusionnée ; ses objets internes sont contrôlés par Template_Card</x:v>
      </x:c>
    </x:row>
    <x:row r="57">
      <x:c r="A57" s="24" t="str">
        <x:v>Alertes</x:v>
      </x:c>
      <x:c r="B57" s="24" t="str">
        <x:v>G03_KPI_Row</x:v>
      </x:c>
      <x:c r="C57" s="24" t="str">
        <x:v>KPI_Card_05</x:v>
      </x:c>
      <x:c r="D57" s="24" t="str">
        <x:v>Composite card group</x:v>
      </x:c>
      <x:c r="E57" s="25" t="n">
        <x:v>1232</x:v>
      </x:c>
      <x:c r="F57" s="25" t="n">
        <x:v>330</x:v>
      </x:c>
      <x:c r="G57" s="25" t="n">
        <x:v>287</x:v>
      </x:c>
      <x:c r="H57" s="25" t="n">
        <x:v>180</x:v>
      </x:c>
      <x:c r="I57" s="25" t="n">
        <x:f>E57+G57</x:f>
        <x:v>1519</x:v>
      </x:c>
      <x:c r="J57" s="25" t="n">
        <x:f>F57+H57</x:f>
        <x:v>510</x:v>
      </x:c>
      <x:c r="K57" s="25" t="n">
        <x:v>15</x:v>
      </x:c>
      <x:c r="L57" s="24" t="str">
        <x:v>NoOverlap</x:v>
      </x:c>
      <x:c r="M57" s="24" t="str">
        <x:v>Carte KPI fusionnée ; ses objets internes sont contrôlés par Template_Card</x:v>
      </x:c>
    </x:row>
    <x:row r="58">
      <x:c r="A58" s="24" t="str">
        <x:v>Glossaire</x:v>
      </x:c>
      <x:c r="B58" s="24" t="str">
        <x:v>G00_Header_Global</x:v>
      </x:c>
      <x:c r="C58" s="24" t="str">
        <x:v>Header_Global</x:v>
      </x:c>
      <x:c r="D58" s="24" t="str">
        <x:v>Shape+buttons+slicer</x:v>
      </x:c>
      <x:c r="E58" s="25" t="n">
        <x:v>0</x:v>
      </x:c>
      <x:c r="F58" s="25" t="n">
        <x:v>0</x:v>
      </x:c>
      <x:c r="G58" s="25" t="n">
        <x:v>1540</x:v>
      </x:c>
      <x:c r="H58" s="25" t="n">
        <x:v>88</x:v>
      </x:c>
      <x:c r="I58" s="25" t="n">
        <x:f>E58+G58</x:f>
        <x:v>1540</x:v>
      </x:c>
      <x:c r="J58" s="25" t="n">
        <x:f>F58+H58</x:f>
        <x:v>88</x:v>
      </x:c>
      <x:c r="K58" s="25" t="n">
        <x:v>1</x:v>
      </x:c>
      <x:c r="L58" s="24" t="str">
        <x:v>NoOverlap</x:v>
      </x:c>
      <x:c r="M58" s="24" t="str">
        <x:v>Bandeau fixe de navigation</x:v>
      </x:c>
    </x:row>
    <x:row r="59">
      <x:c r="A59" s="24" t="str">
        <x:v>Glossaire</x:v>
      </x:c>
      <x:c r="B59" s="24" t="str">
        <x:v>G01_Title_Zone</x:v>
      </x:c>
      <x:c r="C59" s="24" t="str">
        <x:v>Title_Zone</x:v>
      </x:c>
      <x:c r="D59" s="24" t="str">
        <x:v>Shape+text+pills</x:v>
      </x:c>
      <x:c r="E59" s="25" t="n">
        <x:v>20</x:v>
      </x:c>
      <x:c r="F59" s="25" t="n">
        <x:v>110</x:v>
      </x:c>
      <x:c r="G59" s="25" t="n">
        <x:v>1500</x:v>
      </x:c>
      <x:c r="H59" s="25" t="n">
        <x:v>132</x:v>
      </x:c>
      <x:c r="I59" s="25" t="n">
        <x:f>E59+G59</x:f>
        <x:v>1520</x:v>
      </x:c>
      <x:c r="J59" s="25" t="n">
        <x:f>F59+H59</x:f>
        <x:v>242</x:v>
      </x:c>
      <x:c r="K59" s="25" t="n">
        <x:v>2</x:v>
      </x:c>
      <x:c r="L59" s="24" t="str">
        <x:v>NoOverlap</x:v>
      </x:c>
      <x:c r="M59" s="24" t="str">
        <x:v>Zone titre bleue</x:v>
      </x:c>
    </x:row>
    <x:row r="60">
      <x:c r="A60" s="24" t="str">
        <x:v>Glossaire</x:v>
      </x:c>
      <x:c r="B60" s="24" t="str">
        <x:v>G02_Toolbar</x:v>
      </x:c>
      <x:c r="C60" s="24" t="str">
        <x:v>Toolbar_Slicers_FieldParams</x:v>
      </x:c>
      <x:c r="D60" s="24" t="str">
        <x:v>Buttons+slicers</x:v>
      </x:c>
      <x:c r="E60" s="25" t="n">
        <x:v>20</x:v>
      </x:c>
      <x:c r="F60" s="25" t="n">
        <x:v>260</x:v>
      </x:c>
      <x:c r="G60" s="25" t="n">
        <x:v>1500</x:v>
      </x:c>
      <x:c r="H60" s="25" t="n">
        <x:v>56</x:v>
      </x:c>
      <x:c r="I60" s="25" t="n">
        <x:f>E60+G60</x:f>
        <x:v>1520</x:v>
      </x:c>
      <x:c r="J60" s="25" t="n">
        <x:f>F60+H60</x:f>
        <x:v>316</x:v>
      </x:c>
      <x:c r="K60" s="25" t="n">
        <x:v>3</x:v>
      </x:c>
      <x:c r="L60" s="24" t="str">
        <x:v>NoOverlap</x:v>
      </x:c>
      <x:c r="M60" s="24" t="str">
        <x:v>Slicers et field parameters</x:v>
      </x:c>
    </x:row>
    <x:row r="61">
      <x:c r="A61" s="24" t="str">
        <x:v>Glossaire</x:v>
      </x:c>
      <x:c r="B61" s="24" t="str">
        <x:v>G03_KPI_Row</x:v>
      </x:c>
      <x:c r="C61" s="24" t="str">
        <x:v>KPI_Card_01</x:v>
      </x:c>
      <x:c r="D61" s="24" t="str">
        <x:v>Composite card group</x:v>
      </x:c>
      <x:c r="E61" s="25" t="n">
        <x:v>20</x:v>
      </x:c>
      <x:c r="F61" s="25" t="n">
        <x:v>330</x:v>
      </x:c>
      <x:c r="G61" s="25" t="n">
        <x:v>287</x:v>
      </x:c>
      <x:c r="H61" s="25" t="n">
        <x:v>180</x:v>
      </x:c>
      <x:c r="I61" s="25" t="n">
        <x:f>E61+G61</x:f>
        <x:v>307</x:v>
      </x:c>
      <x:c r="J61" s="25" t="n">
        <x:f>F61+H61</x:f>
        <x:v>510</x:v>
      </x:c>
      <x:c r="K61" s="25" t="n">
        <x:v>11</x:v>
      </x:c>
      <x:c r="L61" s="24" t="str">
        <x:v>NoOverlap</x:v>
      </x:c>
      <x:c r="M61" s="24" t="str">
        <x:v>Carte KPI fusionnée ; ses objets internes sont contrôlés par Template_Card</x:v>
      </x:c>
    </x:row>
    <x:row r="62">
      <x:c r="A62" s="24" t="str">
        <x:v>Glossaire</x:v>
      </x:c>
      <x:c r="B62" s="24" t="str">
        <x:v>G03_KPI_Row</x:v>
      </x:c>
      <x:c r="C62" s="24" t="str">
        <x:v>KPI_Card_02</x:v>
      </x:c>
      <x:c r="D62" s="24" t="str">
        <x:v>Composite card group</x:v>
      </x:c>
      <x:c r="E62" s="25" t="n">
        <x:v>323</x:v>
      </x:c>
      <x:c r="F62" s="25" t="n">
        <x:v>330</x:v>
      </x:c>
      <x:c r="G62" s="25" t="n">
        <x:v>287</x:v>
      </x:c>
      <x:c r="H62" s="25" t="n">
        <x:v>180</x:v>
      </x:c>
      <x:c r="I62" s="25" t="n">
        <x:f>E62+G62</x:f>
        <x:v>610</x:v>
      </x:c>
      <x:c r="J62" s="25" t="n">
        <x:f>F62+H62</x:f>
        <x:v>510</x:v>
      </x:c>
      <x:c r="K62" s="25" t="n">
        <x:v>12</x:v>
      </x:c>
      <x:c r="L62" s="24" t="str">
        <x:v>NoOverlap</x:v>
      </x:c>
      <x:c r="M62" s="24" t="str">
        <x:v>Carte KPI fusionnée ; ses objets internes sont contrôlés par Template_Card</x:v>
      </x:c>
    </x:row>
    <x:row r="63">
      <x:c r="A63" s="24" t="str">
        <x:v>Glossaire</x:v>
      </x:c>
      <x:c r="B63" s="24" t="str">
        <x:v>G03_KPI_Row</x:v>
      </x:c>
      <x:c r="C63" s="24" t="str">
        <x:v>KPI_Card_03</x:v>
      </x:c>
      <x:c r="D63" s="24" t="str">
        <x:v>Composite card group</x:v>
      </x:c>
      <x:c r="E63" s="25" t="n">
        <x:v>626</x:v>
      </x:c>
      <x:c r="F63" s="25" t="n">
        <x:v>330</x:v>
      </x:c>
      <x:c r="G63" s="25" t="n">
        <x:v>287</x:v>
      </x:c>
      <x:c r="H63" s="25" t="n">
        <x:v>180</x:v>
      </x:c>
      <x:c r="I63" s="25" t="n">
        <x:f>E63+G63</x:f>
        <x:v>913</x:v>
      </x:c>
      <x:c r="J63" s="25" t="n">
        <x:f>F63+H63</x:f>
        <x:v>510</x:v>
      </x:c>
      <x:c r="K63" s="25" t="n">
        <x:v>13</x:v>
      </x:c>
      <x:c r="L63" s="24" t="str">
        <x:v>NoOverlap</x:v>
      </x:c>
      <x:c r="M63" s="24" t="str">
        <x:v>Carte KPI fusionnée ; ses objets internes sont contrôlés par Template_Card</x:v>
      </x:c>
    </x:row>
    <x:row r="64">
      <x:c r="A64" s="24" t="str">
        <x:v>Glossaire</x:v>
      </x:c>
      <x:c r="B64" s="24" t="str">
        <x:v>G03_KPI_Row</x:v>
      </x:c>
      <x:c r="C64" s="24" t="str">
        <x:v>KPI_Card_04</x:v>
      </x:c>
      <x:c r="D64" s="24" t="str">
        <x:v>Composite card group</x:v>
      </x:c>
      <x:c r="E64" s="25" t="n">
        <x:v>929</x:v>
      </x:c>
      <x:c r="F64" s="25" t="n">
        <x:v>330</x:v>
      </x:c>
      <x:c r="G64" s="25" t="n">
        <x:v>287</x:v>
      </x:c>
      <x:c r="H64" s="25" t="n">
        <x:v>180</x:v>
      </x:c>
      <x:c r="I64" s="25" t="n">
        <x:f>E64+G64</x:f>
        <x:v>1216</x:v>
      </x:c>
      <x:c r="J64" s="25" t="n">
        <x:f>F64+H64</x:f>
        <x:v>510</x:v>
      </x:c>
      <x:c r="K64" s="25" t="n">
        <x:v>14</x:v>
      </x:c>
      <x:c r="L64" s="24" t="str">
        <x:v>NoOverlap</x:v>
      </x:c>
      <x:c r="M64" s="24" t="str">
        <x:v>Carte KPI fusionnée ; ses objets internes sont contrôlés par Template_Card</x:v>
      </x:c>
    </x:row>
    <x:row r="65">
      <x:c r="A65" s="24" t="str">
        <x:v>Glossaire</x:v>
      </x:c>
      <x:c r="B65" s="24" t="str">
        <x:v>G03_KPI_Row</x:v>
      </x:c>
      <x:c r="C65" s="24" t="str">
        <x:v>KPI_Card_05</x:v>
      </x:c>
      <x:c r="D65" s="24" t="str">
        <x:v>Composite card group</x:v>
      </x:c>
      <x:c r="E65" s="25" t="n">
        <x:v>1232</x:v>
      </x:c>
      <x:c r="F65" s="25" t="n">
        <x:v>330</x:v>
      </x:c>
      <x:c r="G65" s="25" t="n">
        <x:v>287</x:v>
      </x:c>
      <x:c r="H65" s="25" t="n">
        <x:v>180</x:v>
      </x:c>
      <x:c r="I65" s="25" t="n">
        <x:f>E65+G65</x:f>
        <x:v>1519</x:v>
      </x:c>
      <x:c r="J65" s="25" t="n">
        <x:f>F65+H65</x:f>
        <x:v>510</x:v>
      </x:c>
      <x:c r="K65" s="25" t="n">
        <x:v>15</x:v>
      </x:c>
      <x:c r="L65" s="24" t="str">
        <x:v>NoOverlap</x:v>
      </x:c>
      <x:c r="M65" s="24" t="str">
        <x:v>Carte KPI fusionnée ; ses objets internes sont contrôlés par Template_Card</x:v>
      </x:c>
    </x:row>
    <x:row r="66">
      <x:c r="A66" s="24" t="str">
        <x:v>Accueil</x:v>
      </x:c>
      <x:c r="B66" s="24" t="str">
        <x:v>G04_Gauges</x:v>
      </x:c>
      <x:c r="C66" s="24" t="str">
        <x:v>Gauge_Alertes_Row</x:v>
      </x:c>
      <x:c r="D66" s="24" t="str">
        <x:v>3 gauge cards</x:v>
      </x:c>
      <x:c r="E66" s="25" t="n">
        <x:v>20</x:v>
      </x:c>
      <x:c r="F66" s="25" t="n">
        <x:v>530</x:v>
      </x:c>
      <x:c r="G66" s="25" t="n">
        <x:v>1500</x:v>
      </x:c>
      <x:c r="H66" s="25" t="n">
        <x:v>132</x:v>
      </x:c>
      <x:c r="I66" s="25" t="n">
        <x:f>E66+G66</x:f>
        <x:v>1520</x:v>
      </x:c>
      <x:c r="J66" s="25" t="n">
        <x:f>F66+H66</x:f>
        <x:v>662</x:v>
      </x:c>
      <x:c r="K66" s="25" t="n">
        <x:v>20</x:v>
      </x:c>
      <x:c r="L66" s="24" t="str">
        <x:v>NoOverlap</x:v>
      </x:c>
      <x:c r="M66" s="24" t="str">
        <x:v>Ligne 3 jauges</x:v>
      </x:c>
    </x:row>
    <x:row r="67">
      <x:c r="A67" s="24" t="str">
        <x:v>Accueil</x:v>
      </x:c>
      <x:c r="B67" s="24" t="str">
        <x:v>G05_Alertes_Reco</x:v>
      </x:c>
      <x:c r="C67" s="24" t="str">
        <x:v>Bloc_Alertes</x:v>
      </x:c>
      <x:c r="D67" s="24" t="str">
        <x:v>List card</x:v>
      </x:c>
      <x:c r="E67" s="25" t="n">
        <x:v>20</x:v>
      </x:c>
      <x:c r="F67" s="25" t="n">
        <x:v>682</x:v>
      </x:c>
      <x:c r="G67" s="25" t="n">
        <x:v>742</x:v>
      </x:c>
      <x:c r="H67" s="25" t="n">
        <x:v>280</x:v>
      </x:c>
      <x:c r="I67" s="25" t="n">
        <x:f>E67+G67</x:f>
        <x:v>762</x:v>
      </x:c>
      <x:c r="J67" s="25" t="n">
        <x:f>F67+H67</x:f>
        <x:v>962</x:v>
      </x:c>
      <x:c r="K67" s="25" t="n">
        <x:v>21</x:v>
      </x:c>
      <x:c r="L67" s="24" t="str">
        <x:v>NoOverlap</x:v>
      </x:c>
      <x:c r="M67" s="24" t="str">
        <x:v>Colonne gauche alertes</x:v>
      </x:c>
    </x:row>
    <x:row r="68">
      <x:c r="A68" s="24" t="str">
        <x:v>Accueil</x:v>
      </x:c>
      <x:c r="B68" s="24" t="str">
        <x:v>G05_Alertes_Reco</x:v>
      </x:c>
      <x:c r="C68" s="24" t="str">
        <x:v>Bloc_Recommandation</x:v>
      </x:c>
      <x:c r="D68" s="24" t="str">
        <x:v>List card</x:v>
      </x:c>
      <x:c r="E68" s="25" t="n">
        <x:v>778</x:v>
      </x:c>
      <x:c r="F68" s="25" t="n">
        <x:v>682</x:v>
      </x:c>
      <x:c r="G68" s="25" t="n">
        <x:v>742</x:v>
      </x:c>
      <x:c r="H68" s="25" t="n">
        <x:v>280</x:v>
      </x:c>
      <x:c r="I68" s="25" t="n">
        <x:f>E68+G68</x:f>
        <x:v>1520</x:v>
      </x:c>
      <x:c r="J68" s="25" t="n">
        <x:f>F68+H68</x:f>
        <x:v>962</x:v>
      </x:c>
      <x:c r="K68" s="25" t="n">
        <x:v>22</x:v>
      </x:c>
      <x:c r="L68" s="24" t="str">
        <x:v>NoOverlap</x:v>
      </x:c>
      <x:c r="M68" s="24" t="str">
        <x:v>Colonne droite recommandation</x:v>
      </x:c>
    </x:row>
    <x:row r="69">
      <x:c r="A69" s="24" t="str">
        <x:v>Accueil</x:v>
      </x:c>
      <x:c r="B69" s="24" t="str">
        <x:v>G06_Charts</x:v>
      </x:c>
      <x:c r="C69" s="24" t="str">
        <x:v>Line_Affaires</x:v>
      </x:c>
      <x:c r="D69" s="24" t="str">
        <x:v>Line chart card</x:v>
      </x:c>
      <x:c r="E69" s="25" t="n">
        <x:v>20</x:v>
      </x:c>
      <x:c r="F69" s="25" t="n">
        <x:v>982</x:v>
      </x:c>
      <x:c r="G69" s="25" t="n">
        <x:v>742</x:v>
      </x:c>
      <x:c r="H69" s="25" t="n">
        <x:v>360</x:v>
      </x:c>
      <x:c r="I69" s="25" t="n">
        <x:f>E69+G69</x:f>
        <x:v>762</x:v>
      </x:c>
      <x:c r="J69" s="25" t="n">
        <x:f>F69+H69</x:f>
        <x:v>1342</x:v>
      </x:c>
      <x:c r="K69" s="25" t="n">
        <x:v>23</x:v>
      </x:c>
      <x:c r="L69" s="24" t="str">
        <x:v>NoOverlap</x:v>
      </x:c>
      <x:c r="M69" s="24" t="str">
        <x:v>Courbe affaires</x:v>
      </x:c>
    </x:row>
    <x:row r="70">
      <x:c r="A70" s="24" t="str">
        <x:v>Accueil</x:v>
      </x:c>
      <x:c r="B70" s="24" t="str">
        <x:v>G06_Charts</x:v>
      </x:c>
      <x:c r="C70" s="24" t="str">
        <x:v>Bar_Repartition</x:v>
      </x:c>
      <x:c r="D70" s="24" t="str">
        <x:v>Bar chart card</x:v>
      </x:c>
      <x:c r="E70" s="25" t="n">
        <x:v>778</x:v>
      </x:c>
      <x:c r="F70" s="25" t="n">
        <x:v>982</x:v>
      </x:c>
      <x:c r="G70" s="25" t="n">
        <x:v>742</x:v>
      </x:c>
      <x:c r="H70" s="25" t="n">
        <x:v>360</x:v>
      </x:c>
      <x:c r="I70" s="25" t="n">
        <x:f>E70+G70</x:f>
        <x:v>1520</x:v>
      </x:c>
      <x:c r="J70" s="25" t="n">
        <x:f>F70+H70</x:f>
        <x:v>1342</x:v>
      </x:c>
      <x:c r="K70" s="25" t="n">
        <x:v>24</x:v>
      </x:c>
      <x:c r="L70" s="24" t="str">
        <x:v>NoOverlap</x:v>
      </x:c>
      <x:c r="M70" s="24" t="str">
        <x:v>Répartition affaires</x:v>
      </x:c>
    </x:row>
    <x:row r="71">
      <x:c r="A71" s="24" t="str">
        <x:v>Performance</x:v>
      </x:c>
      <x:c r="B71" s="24" t="str">
        <x:v>G04_Charts_Row</x:v>
      </x:c>
      <x:c r="C71" s="24" t="str">
        <x:v>Line_Affaires</x:v>
      </x:c>
      <x:c r="D71" s="24" t="str">
        <x:v>Line chart card</x:v>
      </x:c>
      <x:c r="E71" s="25" t="n">
        <x:v>20</x:v>
      </x:c>
      <x:c r="F71" s="25" t="n">
        <x:v>535</x:v>
      </x:c>
      <x:c r="G71" s="25" t="n">
        <x:v>490</x:v>
      </x:c>
      <x:c r="H71" s="25" t="n">
        <x:v>380</x:v>
      </x:c>
      <x:c r="I71" s="25" t="n">
        <x:f>E71+G71</x:f>
        <x:v>510</x:v>
      </x:c>
      <x:c r="J71" s="25" t="n">
        <x:f>F71+H71</x:f>
        <x:v>915</x:v>
      </x:c>
      <x:c r="K71" s="25" t="n">
        <x:v>23</x:v>
      </x:c>
      <x:c r="L71" s="24" t="str">
        <x:v>NoOverlap</x:v>
      </x:c>
      <x:c r="M71" s="24" t="str">
        <x:v>Courbe affaires</x:v>
      </x:c>
    </x:row>
    <x:row r="72">
      <x:c r="A72" s="24" t="str">
        <x:v>Performance</x:v>
      </x:c>
      <x:c r="B72" s="24" t="str">
        <x:v>G04_Charts_Row</x:v>
      </x:c>
      <x:c r="C72" s="24" t="str">
        <x:v>Bar_Performance</x:v>
      </x:c>
      <x:c r="D72" s="24" t="str">
        <x:v>Horizontal bar chart</x:v>
      </x:c>
      <x:c r="E72" s="25" t="n">
        <x:v>526</x:v>
      </x:c>
      <x:c r="F72" s="25" t="n">
        <x:v>535</x:v>
      </x:c>
      <x:c r="G72" s="25" t="n">
        <x:v>490</x:v>
      </x:c>
      <x:c r="H72" s="25" t="n">
        <x:v>380</x:v>
      </x:c>
      <x:c r="I72" s="25" t="n">
        <x:f>E72+G72</x:f>
        <x:v>1016</x:v>
      </x:c>
      <x:c r="J72" s="25" t="n">
        <x:f>F72+H72</x:f>
        <x:v>915</x:v>
      </x:c>
      <x:c r="K72" s="25" t="n">
        <x:v>24</x:v>
      </x:c>
      <x:c r="L72" s="24" t="str">
        <x:v>NoOverlap</x:v>
      </x:c>
      <x:c r="M72" s="24" t="str">
        <x:v>Classement performance</x:v>
      </x:c>
    </x:row>
    <x:row r="73">
      <x:c r="A73" s="24" t="str">
        <x:v>Performance</x:v>
      </x:c>
      <x:c r="B73" s="24" t="str">
        <x:v>G04_Charts_Row</x:v>
      </x:c>
      <x:c r="C73" s="24" t="str">
        <x:v>Bar_Repartition</x:v>
      </x:c>
      <x:c r="D73" s="24" t="str">
        <x:v>Horizontal bar chart</x:v>
      </x:c>
      <x:c r="E73" s="25" t="n">
        <x:v>1032</x:v>
      </x:c>
      <x:c r="F73" s="25" t="n">
        <x:v>535</x:v>
      </x:c>
      <x:c r="G73" s="25" t="n">
        <x:v>488</x:v>
      </x:c>
      <x:c r="H73" s="25" t="n">
        <x:v>380</x:v>
      </x:c>
      <x:c r="I73" s="25" t="n">
        <x:f>E73+G73</x:f>
        <x:v>1520</x:v>
      </x:c>
      <x:c r="J73" s="25" t="n">
        <x:f>F73+H73</x:f>
        <x:v>915</x:v>
      </x:c>
      <x:c r="K73" s="25" t="n">
        <x:v>25</x:v>
      </x:c>
      <x:c r="L73" s="24" t="str">
        <x:v>NoOverlap</x:v>
      </x:c>
      <x:c r="M73" s="24" t="str">
        <x:v>Répartition commissionnées</x:v>
      </x:c>
    </x:row>
    <x:row r="74">
      <x:c r="A74" s="24" t="str">
        <x:v>Affaires</x:v>
      </x:c>
      <x:c r="B74" s="24" t="str">
        <x:v>G04_Month_Compare</x:v>
      </x:c>
      <x:c r="C74" s="24" t="str">
        <x:v>Bloc_Comparaison_Mois</x:v>
      </x:c>
      <x:c r="D74" s="24" t="str">
        <x:v>Composite card</x:v>
      </x:c>
      <x:c r="E74" s="25" t="n">
        <x:v>20</x:v>
      </x:c>
      <x:c r="F74" s="25" t="n">
        <x:v>530</x:v>
      </x:c>
      <x:c r="G74" s="25" t="n">
        <x:v>1500</x:v>
      </x:c>
      <x:c r="H74" s="25" t="n">
        <x:v>230</x:v>
      </x:c>
      <x:c r="I74" s="25" t="n">
        <x:f>E74+G74</x:f>
        <x:v>1520</x:v>
      </x:c>
      <x:c r="J74" s="25" t="n">
        <x:f>F74+H74</x:f>
        <x:v>760</x:v>
      </x:c>
      <x:c r="K74" s="25" t="n">
        <x:v>23</x:v>
      </x:c>
      <x:c r="L74" s="24" t="str">
        <x:v>NoOverlap</x:v>
      </x:c>
      <x:c r="M74" s="24" t="str">
        <x:v>Comparaison deux mois</x:v>
      </x:c>
    </x:row>
    <x:row r="75">
      <x:c r="A75" s="24" t="str">
        <x:v>Affaires</x:v>
      </x:c>
      <x:c r="B75" s="24" t="str">
        <x:v>G05_Budget_Gauges</x:v>
      </x:c>
      <x:c r="C75" s="24" t="str">
        <x:v>Budget_Gauge_Row</x:v>
      </x:c>
      <x:c r="D75" s="24" t="str">
        <x:v>3 gauge cards</x:v>
      </x:c>
      <x:c r="E75" s="25" t="n">
        <x:v>20</x:v>
      </x:c>
      <x:c r="F75" s="25" t="n">
        <x:v>780</x:v>
      </x:c>
      <x:c r="G75" s="25" t="n">
        <x:v>1500</x:v>
      </x:c>
      <x:c r="H75" s="25" t="n">
        <x:v>132</x:v>
      </x:c>
      <x:c r="I75" s="25" t="n">
        <x:f>E75+G75</x:f>
        <x:v>1520</x:v>
      </x:c>
      <x:c r="J75" s="25" t="n">
        <x:f>F75+H75</x:f>
        <x:v>912</x:v>
      </x:c>
      <x:c r="K75" s="25" t="n">
        <x:v>24</x:v>
      </x:c>
      <x:c r="L75" s="24" t="str">
        <x:v>NoOverlap</x:v>
      </x:c>
      <x:c r="M75" s="24" t="str">
        <x:v>Jauges budget</x:v>
      </x:c>
    </x:row>
    <x:row r="76">
      <x:c r="A76" s="24" t="str">
        <x:v>Affaires</x:v>
      </x:c>
      <x:c r="B76" s="24" t="str">
        <x:v>G06_Charts</x:v>
      </x:c>
      <x:c r="C76" s="24" t="str">
        <x:v>Line_Volume</x:v>
      </x:c>
      <x:c r="D76" s="24" t="str">
        <x:v>Line chart card</x:v>
      </x:c>
      <x:c r="E76" s="25" t="n">
        <x:v>20</x:v>
      </x:c>
      <x:c r="F76" s="25" t="n">
        <x:v>932</x:v>
      </x:c>
      <x:c r="G76" s="25" t="n">
        <x:v>742</x:v>
      </x:c>
      <x:c r="H76" s="25" t="n">
        <x:v>360</x:v>
      </x:c>
      <x:c r="I76" s="25" t="n">
        <x:f>E76+G76</x:f>
        <x:v>762</x:v>
      </x:c>
      <x:c r="J76" s="25" t="n">
        <x:f>F76+H76</x:f>
        <x:v>1292</x:v>
      </x:c>
      <x:c r="K76" s="25" t="n">
        <x:v>25</x:v>
      </x:c>
      <x:c r="L76" s="24" t="str">
        <x:v>NoOverlap</x:v>
      </x:c>
      <x:c r="M76" s="24" t="str">
        <x:v>Réalisé vs N-1 vs MTD-1</x:v>
      </x:c>
    </x:row>
    <x:row r="77">
      <x:c r="A77" s="24" t="str">
        <x:v>Affaires</x:v>
      </x:c>
      <x:c r="B77" s="24" t="str">
        <x:v>G06_Charts</x:v>
      </x:c>
      <x:c r="C77" s="24" t="str">
        <x:v>Bar_Axes_Affaires</x:v>
      </x:c>
      <x:c r="D77" s="24" t="str">
        <x:v>Horizontal bar chart</x:v>
      </x:c>
      <x:c r="E77" s="25" t="n">
        <x:v>778</x:v>
      </x:c>
      <x:c r="F77" s="25" t="n">
        <x:v>932</x:v>
      </x:c>
      <x:c r="G77" s="25" t="n">
        <x:v>742</x:v>
      </x:c>
      <x:c r="H77" s="25" t="n">
        <x:v>360</x:v>
      </x:c>
      <x:c r="I77" s="25" t="n">
        <x:f>E77+G77</x:f>
        <x:v>1520</x:v>
      </x:c>
      <x:c r="J77" s="25" t="n">
        <x:f>F77+H77</x:f>
        <x:v>1292</x:v>
      </x:c>
      <x:c r="K77" s="25" t="n">
        <x:v>26</x:v>
      </x:c>
      <x:c r="L77" s="24" t="str">
        <x:v>NoOverlap</x:v>
      </x:c>
      <x:c r="M77" s="24" t="str">
        <x:v>Axes d'analyse affaires</x:v>
      </x:c>
    </x:row>
    <x:row r="78">
      <x:c r="A78" s="24" t="str">
        <x:v>Réseau MIA</x:v>
      </x:c>
      <x:c r="B78" s="24" t="str">
        <x:v>G04_Map_Main</x:v>
      </x:c>
      <x:c r="C78" s="24" t="str">
        <x:v>Map_Carte_France</x:v>
      </x:c>
      <x:c r="D78" s="24" t="str">
        <x:v>Map card</x:v>
      </x:c>
      <x:c r="E78" s="25" t="n">
        <x:v>20</x:v>
      </x:c>
      <x:c r="F78" s="25" t="n">
        <x:v>535</x:v>
      </x:c>
      <x:c r="G78" s="25" t="n">
        <x:v>830</x:v>
      </x:c>
      <x:c r="H78" s="25" t="n">
        <x:v>560</x:v>
      </x:c>
      <x:c r="I78" s="25" t="n">
        <x:f>E78+G78</x:f>
        <x:v>850</x:v>
      </x:c>
      <x:c r="J78" s="25" t="n">
        <x:f>F78+H78</x:f>
        <x:v>1095</x:v>
      </x:c>
      <x:c r="K78" s="25" t="n">
        <x:v>23</x:v>
      </x:c>
      <x:c r="L78" s="24" t="str">
        <x:v>NoOverlap</x:v>
      </x:c>
      <x:c r="M78" s="24" t="str">
        <x:v>Carte France + focus agence</x:v>
      </x:c>
    </x:row>
    <x:row r="79">
      <x:c r="A79" s="24" t="str">
        <x:v>Réseau MIA</x:v>
      </x:c>
      <x:c r="B79" s="24" t="str">
        <x:v>G05_Right_Analytics</x:v>
      </x:c>
      <x:c r="C79" s="24" t="str">
        <x:v>Donut_CSP</x:v>
      </x:c>
      <x:c r="D79" s="24" t="str">
        <x:v>Donut card</x:v>
      </x:c>
      <x:c r="E79" s="25" t="n">
        <x:v>866</x:v>
      </x:c>
      <x:c r="F79" s="25" t="n">
        <x:v>535</x:v>
      </x:c>
      <x:c r="G79" s="25" t="n">
        <x:v>316</x:v>
      </x:c>
      <x:c r="H79" s="25" t="n">
        <x:v>300</x:v>
      </x:c>
      <x:c r="I79" s="25" t="n">
        <x:f>E79+G79</x:f>
        <x:v>1182</x:v>
      </x:c>
      <x:c r="J79" s="25" t="n">
        <x:f>F79+H79</x:f>
        <x:v>835</x:v>
      </x:c>
      <x:c r="K79" s="25" t="n">
        <x:v>24</x:v>
      </x:c>
      <x:c r="L79" s="24" t="str">
        <x:v>NoOverlap</x:v>
      </x:c>
      <x:c r="M79" s="24" t="str">
        <x:v>Répartition RDV par CSP</x:v>
      </x:c>
    </x:row>
    <x:row r="80">
      <x:c r="A80" s="24" t="str">
        <x:v>Réseau MIA</x:v>
      </x:c>
      <x:c r="B80" s="24" t="str">
        <x:v>G05_Right_Analytics</x:v>
      </x:c>
      <x:c r="C80" s="24" t="str">
        <x:v>Donut_MIA</x:v>
      </x:c>
      <x:c r="D80" s="24" t="str">
        <x:v>Donut card</x:v>
      </x:c>
      <x:c r="E80" s="25" t="n">
        <x:v>1198</x:v>
      </x:c>
      <x:c r="F80" s="25" t="n">
        <x:v>535</x:v>
      </x:c>
      <x:c r="G80" s="25" t="n">
        <x:v>322</x:v>
      </x:c>
      <x:c r="H80" s="25" t="n">
        <x:v>300</x:v>
      </x:c>
      <x:c r="I80" s="25" t="n">
        <x:f>E80+G80</x:f>
        <x:v>1520</x:v>
      </x:c>
      <x:c r="J80" s="25" t="n">
        <x:f>F80+H80</x:f>
        <x:v>835</x:v>
      </x:c>
      <x:c r="K80" s="25" t="n">
        <x:v>25</x:v>
      </x:c>
      <x:c r="L80" s="24" t="str">
        <x:v>NoOverlap</x:v>
      </x:c>
      <x:c r="M80" s="24" t="str">
        <x:v>Répartition MIA</x:v>
      </x:c>
    </x:row>
    <x:row r="81">
      <x:c r="A81" s="24" t="str">
        <x:v>Réseau MIA</x:v>
      </x:c>
      <x:c r="B81" s="24" t="str">
        <x:v>G05_Right_Analytics</x:v>
      </x:c>
      <x:c r="C81" s="24" t="str">
        <x:v>Tableau_Compact</x:v>
      </x:c>
      <x:c r="D81" s="24" t="str">
        <x:v>Table card</x:v>
      </x:c>
      <x:c r="E81" s="25" t="n">
        <x:v>866</x:v>
      </x:c>
      <x:c r="F81" s="25" t="n">
        <x:v>851</x:v>
      </x:c>
      <x:c r="G81" s="25" t="n">
        <x:v>654</x:v>
      </x:c>
      <x:c r="H81" s="25" t="n">
        <x:v>230</x:v>
      </x:c>
      <x:c r="I81" s="25" t="n">
        <x:f>E81+G81</x:f>
        <x:v>1520</x:v>
      </x:c>
      <x:c r="J81" s="25" t="n">
        <x:f>F81+H81</x:f>
        <x:v>1081</x:v>
      </x:c>
      <x:c r="K81" s="25" t="n">
        <x:v>26</x:v>
      </x:c>
      <x:c r="L81" s="24" t="str">
        <x:v>NoOverlap</x:v>
      </x:c>
      <x:c r="M81" s="24" t="str">
        <x:v>Petit tableau réseau</x:v>
      </x:c>
    </x:row>
    <x:row r="82">
      <x:c r="A82" s="24" t="str">
        <x:v>Réseau MIA</x:v>
      </x:c>
      <x:c r="B82" s="24" t="str">
        <x:v>G05_Right_Analytics</x:v>
      </x:c>
      <x:c r="C82" s="24" t="str">
        <x:v>Bar_MIA_Productifs</x:v>
      </x:c>
      <x:c r="D82" s="24" t="str">
        <x:v>Horizontal bar card</x:v>
      </x:c>
      <x:c r="E82" s="25" t="n">
        <x:v>866</x:v>
      </x:c>
      <x:c r="F82" s="25" t="n">
        <x:v>1097</x:v>
      </x:c>
      <x:c r="G82" s="25" t="n">
        <x:v>654</x:v>
      </x:c>
      <x:c r="H82" s="25" t="n">
        <x:v>300</x:v>
      </x:c>
      <x:c r="I82" s="25" t="n">
        <x:f>E82+G82</x:f>
        <x:v>1520</x:v>
      </x:c>
      <x:c r="J82" s="25" t="n">
        <x:f>F82+H82</x:f>
        <x:v>1397</x:v>
      </x:c>
      <x:c r="K82" s="25" t="n">
        <x:v>27</x:v>
      </x:c>
      <x:c r="L82" s="24" t="str">
        <x:v>NoOverlap</x:v>
      </x:c>
      <x:c r="M82" s="24" t="str">
        <x:v>Nombre MIA productifs</x:v>
      </x:c>
    </x:row>
    <x:row r="83">
      <x:c r="A83" s="24" t="str">
        <x:v>Réseau MIA Tableau</x:v>
      </x:c>
      <x:c r="B83" s="24" t="str">
        <x:v>G04_Map_Main</x:v>
      </x:c>
      <x:c r="C83" s="24" t="str">
        <x:v>Map_Carte_France</x:v>
      </x:c>
      <x:c r="D83" s="24" t="str">
        <x:v>Map card</x:v>
      </x:c>
      <x:c r="E83" s="25" t="n">
        <x:v>20</x:v>
      </x:c>
      <x:c r="F83" s="25" t="n">
        <x:v>535</x:v>
      </x:c>
      <x:c r="G83" s="25" t="n">
        <x:v>830</x:v>
      </x:c>
      <x:c r="H83" s="25" t="n">
        <x:v>560</x:v>
      </x:c>
      <x:c r="I83" s="25" t="n">
        <x:f>E83+G83</x:f>
        <x:v>850</x:v>
      </x:c>
      <x:c r="J83" s="25" t="n">
        <x:f>F83+H83</x:f>
        <x:v>1095</x:v>
      </x:c>
      <x:c r="K83" s="25" t="n">
        <x:v>23</x:v>
      </x:c>
      <x:c r="L83" s="24" t="str">
        <x:v>NoOverlap</x:v>
      </x:c>
      <x:c r="M83" s="24" t="str">
        <x:v>Carte France + focus agence</x:v>
      </x:c>
    </x:row>
    <x:row r="84">
      <x:c r="A84" s="24" t="str">
        <x:v>Réseau MIA Tableau</x:v>
      </x:c>
      <x:c r="B84" s="24" t="str">
        <x:v>G05_Right_Analytics</x:v>
      </x:c>
      <x:c r="C84" s="24" t="str">
        <x:v>Donut_CSP</x:v>
      </x:c>
      <x:c r="D84" s="24" t="str">
        <x:v>Donut card</x:v>
      </x:c>
      <x:c r="E84" s="25" t="n">
        <x:v>866</x:v>
      </x:c>
      <x:c r="F84" s="25" t="n">
        <x:v>535</x:v>
      </x:c>
      <x:c r="G84" s="25" t="n">
        <x:v>316</x:v>
      </x:c>
      <x:c r="H84" s="25" t="n">
        <x:v>300</x:v>
      </x:c>
      <x:c r="I84" s="25" t="n">
        <x:f>E84+G84</x:f>
        <x:v>1182</x:v>
      </x:c>
      <x:c r="J84" s="25" t="n">
        <x:f>F84+H84</x:f>
        <x:v>835</x:v>
      </x:c>
      <x:c r="K84" s="25" t="n">
        <x:v>24</x:v>
      </x:c>
      <x:c r="L84" s="24" t="str">
        <x:v>NoOverlap</x:v>
      </x:c>
      <x:c r="M84" s="24" t="str">
        <x:v>Répartition RDV par CSP</x:v>
      </x:c>
    </x:row>
    <x:row r="85">
      <x:c r="A85" s="24" t="str">
        <x:v>Réseau MIA Tableau</x:v>
      </x:c>
      <x:c r="B85" s="24" t="str">
        <x:v>G05_Right_Analytics</x:v>
      </x:c>
      <x:c r="C85" s="24" t="str">
        <x:v>Donut_MIA</x:v>
      </x:c>
      <x:c r="D85" s="24" t="str">
        <x:v>Donut card</x:v>
      </x:c>
      <x:c r="E85" s="25" t="n">
        <x:v>1198</x:v>
      </x:c>
      <x:c r="F85" s="25" t="n">
        <x:v>535</x:v>
      </x:c>
      <x:c r="G85" s="25" t="n">
        <x:v>322</x:v>
      </x:c>
      <x:c r="H85" s="25" t="n">
        <x:v>300</x:v>
      </x:c>
      <x:c r="I85" s="25" t="n">
        <x:f>E85+G85</x:f>
        <x:v>1520</x:v>
      </x:c>
      <x:c r="J85" s="25" t="n">
        <x:f>F85+H85</x:f>
        <x:v>835</x:v>
      </x:c>
      <x:c r="K85" s="25" t="n">
        <x:v>25</x:v>
      </x:c>
      <x:c r="L85" s="24" t="str">
        <x:v>NoOverlap</x:v>
      </x:c>
      <x:c r="M85" s="24" t="str">
        <x:v>Répartition MIA</x:v>
      </x:c>
    </x:row>
    <x:row r="86">
      <x:c r="A86" s="24" t="str">
        <x:v>Réseau MIA Tableau</x:v>
      </x:c>
      <x:c r="B86" s="24" t="str">
        <x:v>G05_Right_Analytics</x:v>
      </x:c>
      <x:c r="C86" s="24" t="str">
        <x:v>Tableau_Compact</x:v>
      </x:c>
      <x:c r="D86" s="24" t="str">
        <x:v>Table card</x:v>
      </x:c>
      <x:c r="E86" s="25" t="n">
        <x:v>866</x:v>
      </x:c>
      <x:c r="F86" s="25" t="n">
        <x:v>851</x:v>
      </x:c>
      <x:c r="G86" s="25" t="n">
        <x:v>654</x:v>
      </x:c>
      <x:c r="H86" s="25" t="n">
        <x:v>230</x:v>
      </x:c>
      <x:c r="I86" s="25" t="n">
        <x:f>E86+G86</x:f>
        <x:v>1520</x:v>
      </x:c>
      <x:c r="J86" s="25" t="n">
        <x:f>F86+H86</x:f>
        <x:v>1081</x:v>
      </x:c>
      <x:c r="K86" s="25" t="n">
        <x:v>26</x:v>
      </x:c>
      <x:c r="L86" s="24" t="str">
        <x:v>NoOverlap</x:v>
      </x:c>
      <x:c r="M86" s="24" t="str">
        <x:v>Petit tableau réseau</x:v>
      </x:c>
    </x:row>
    <x:row r="87">
      <x:c r="A87" s="24" t="str">
        <x:v>Réseau MIA Tableau</x:v>
      </x:c>
      <x:c r="B87" s="24" t="str">
        <x:v>G05_Right_Analytics</x:v>
      </x:c>
      <x:c r="C87" s="24" t="str">
        <x:v>Bar_MIA_Productifs</x:v>
      </x:c>
      <x:c r="D87" s="24" t="str">
        <x:v>Horizontal bar card</x:v>
      </x:c>
      <x:c r="E87" s="25" t="n">
        <x:v>866</x:v>
      </x:c>
      <x:c r="F87" s="25" t="n">
        <x:v>1097</x:v>
      </x:c>
      <x:c r="G87" s="25" t="n">
        <x:v>654</x:v>
      </x:c>
      <x:c r="H87" s="25" t="n">
        <x:v>300</x:v>
      </x:c>
      <x:c r="I87" s="25" t="n">
        <x:f>E87+G87</x:f>
        <x:v>1520</x:v>
      </x:c>
      <x:c r="J87" s="25" t="n">
        <x:f>F87+H87</x:f>
        <x:v>1397</x:v>
      </x:c>
      <x:c r="K87" s="25" t="n">
        <x:v>27</x:v>
      </x:c>
      <x:c r="L87" s="24" t="str">
        <x:v>NoOverlap</x:v>
      </x:c>
      <x:c r="M87" s="24" t="str">
        <x:v>Nombre MIA productifs</x:v>
      </x:c>
    </x:row>
    <x:row r="88">
      <x:c r="A88" s="24" t="str">
        <x:v>Réseau MIA Tableau</x:v>
      </x:c>
      <x:c r="B88" s="24" t="str">
        <x:v>G06_Table_Detail</x:v>
      </x:c>
      <x:c r="C88" s="24" t="str">
        <x:v>Tableau_Reseau_Detaille</x:v>
      </x:c>
      <x:c r="D88" s="24" t="str">
        <x:v>Table card</x:v>
      </x:c>
      <x:c r="E88" s="25" t="n">
        <x:v>20</x:v>
      </x:c>
      <x:c r="F88" s="25" t="n">
        <x:v>1417</x:v>
      </x:c>
      <x:c r="G88" s="25" t="n">
        <x:v>1500</x:v>
      </x:c>
      <x:c r="H88" s="25" t="n">
        <x:v>300</x:v>
      </x:c>
      <x:c r="I88" s="25" t="n">
        <x:f>E88+G88</x:f>
        <x:v>1520</x:v>
      </x:c>
      <x:c r="J88" s="25" t="n">
        <x:f>F88+H88</x:f>
        <x:v>1717</x:v>
      </x:c>
      <x:c r="K88" s="25" t="n">
        <x:v>28</x:v>
      </x:c>
      <x:c r="L88" s="24" t="str">
        <x:v>NoOverlap</x:v>
      </x:c>
      <x:c r="M88" s="24" t="str">
        <x:v>Visible uniquement état tableau ouvert</x:v>
      </x:c>
    </x:row>
    <x:row r="89">
      <x:c r="A89" s="24" t="str">
        <x:v>Rendez-vous</x:v>
      </x:c>
      <x:c r="B89" s="24" t="str">
        <x:v>G04_Charts</x:v>
      </x:c>
      <x:c r="C89" s="24" t="str">
        <x:v>Bar_Repartition_RDV</x:v>
      </x:c>
      <x:c r="D89" s="24" t="str">
        <x:v>Horizontal bar chart</x:v>
      </x:c>
      <x:c r="E89" s="25" t="n">
        <x:v>20</x:v>
      </x:c>
      <x:c r="F89" s="25" t="n">
        <x:v>535</x:v>
      </x:c>
      <x:c r="G89" s="25" t="n">
        <x:v>490</x:v>
      </x:c>
      <x:c r="H89" s="25" t="n">
        <x:v>320</x:v>
      </x:c>
      <x:c r="I89" s="25" t="n">
        <x:f>E89+G89</x:f>
        <x:v>510</x:v>
      </x:c>
      <x:c r="J89" s="25" t="n">
        <x:f>F89+H89</x:f>
        <x:v>855</x:v>
      </x:c>
      <x:c r="K89" s="25" t="n">
        <x:v>23</x:v>
      </x:c>
      <x:c r="L89" s="24" t="str">
        <x:v>NoOverlap</x:v>
      </x:c>
      <x:c r="M89" s="24" t="str">
        <x:v>Répartition RDV réalisés</x:v>
      </x:c>
    </x:row>
    <x:row r="90">
      <x:c r="A90" s="24" t="str">
        <x:v>Rendez-vous</x:v>
      </x:c>
      <x:c r="B90" s="24" t="str">
        <x:v>G04_Charts</x:v>
      </x:c>
      <x:c r="C90" s="24" t="str">
        <x:v>Line_RDV_Prevus_Realises</x:v>
      </x:c>
      <x:c r="D90" s="24" t="str">
        <x:v>Line chart card</x:v>
      </x:c>
      <x:c r="E90" s="25" t="n">
        <x:v>526</x:v>
      </x:c>
      <x:c r="F90" s="25" t="n">
        <x:v>535</x:v>
      </x:c>
      <x:c r="G90" s="25" t="n">
        <x:v>994</x:v>
      </x:c>
      <x:c r="H90" s="25" t="n">
        <x:v>320</x:v>
      </x:c>
      <x:c r="I90" s="25" t="n">
        <x:f>E90+G90</x:f>
        <x:v>1520</x:v>
      </x:c>
      <x:c r="J90" s="25" t="n">
        <x:f>F90+H90</x:f>
        <x:v>855</x:v>
      </x:c>
      <x:c r="K90" s="25" t="n">
        <x:v>24</x:v>
      </x:c>
      <x:c r="L90" s="24" t="str">
        <x:v>NoOverlap</x:v>
      </x:c>
      <x:c r="M90" s="24" t="str">
        <x:v>Prévu vs réalisé</x:v>
      </x:c>
    </x:row>
    <x:row r="91">
      <x:c r="A91" s="24" t="str">
        <x:v>Rendez-vous</x:v>
      </x:c>
      <x:c r="B91" s="24" t="str">
        <x:v>G05_Table</x:v>
      </x:c>
      <x:c r="C91" s="24" t="str">
        <x:v>Table_Detail_RDV</x:v>
      </x:c>
      <x:c r="D91" s="24" t="str">
        <x:v>Table/matrix</x:v>
      </x:c>
      <x:c r="E91" s="25" t="n">
        <x:v>20</x:v>
      </x:c>
      <x:c r="F91" s="25" t="n">
        <x:v>875</x:v>
      </x:c>
      <x:c r="G91" s="25" t="n">
        <x:v>1500</x:v>
      </x:c>
      <x:c r="H91" s="25" t="n">
        <x:v>360</x:v>
      </x:c>
      <x:c r="I91" s="25" t="n">
        <x:f>E91+G91</x:f>
        <x:v>1520</x:v>
      </x:c>
      <x:c r="J91" s="25" t="n">
        <x:f>F91+H91</x:f>
        <x:v>1235</x:v>
      </x:c>
      <x:c r="K91" s="25" t="n">
        <x:v>25</x:v>
      </x:c>
      <x:c r="L91" s="24" t="str">
        <x:v>NoOverlap</x:v>
      </x:c>
      <x:c r="M91" s="24" t="str">
        <x:v>Détail rendez-vous</x:v>
      </x:c>
    </x:row>
    <x:row r="92">
      <x:c r="A92" s="24" t="str">
        <x:v>Alertes</x:v>
      </x:c>
      <x:c r="B92" s="24" t="str">
        <x:v>G04_Alertes</x:v>
      </x:c>
      <x:c r="C92" s="24" t="str">
        <x:v>Bloc_Niveaux_Alerte</x:v>
      </x:c>
      <x:c r="D92" s="24" t="str">
        <x:v>List card</x:v>
      </x:c>
      <x:c r="E92" s="25" t="n">
        <x:v>20</x:v>
      </x:c>
      <x:c r="F92" s="25" t="n">
        <x:v>535</x:v>
      </x:c>
      <x:c r="G92" s="25" t="n">
        <x:v>742</x:v>
      </x:c>
      <x:c r="H92" s="25" t="n">
        <x:v>330</x:v>
      </x:c>
      <x:c r="I92" s="25" t="n">
        <x:f>E92+G92</x:f>
        <x:v>762</x:v>
      </x:c>
      <x:c r="J92" s="25" t="n">
        <x:f>F92+H92</x:f>
        <x:v>865</x:v>
      </x:c>
      <x:c r="K92" s="25" t="n">
        <x:v>23</x:v>
      </x:c>
      <x:c r="L92" s="24" t="str">
        <x:v>NoOverlap</x:v>
      </x:c>
      <x:c r="M92" s="24" t="str">
        <x:v>Niveaux d'alerte</x:v>
      </x:c>
    </x:row>
    <x:row r="93">
      <x:c r="A93" s="24" t="str">
        <x:v>Alertes</x:v>
      </x:c>
      <x:c r="B93" s="24" t="str">
        <x:v>G04_Alertes</x:v>
      </x:c>
      <x:c r="C93" s="24" t="str">
        <x:v>Bloc_Recommandation</x:v>
      </x:c>
      <x:c r="D93" s="24" t="str">
        <x:v>List card</x:v>
      </x:c>
      <x:c r="E93" s="25" t="n">
        <x:v>778</x:v>
      </x:c>
      <x:c r="F93" s="25" t="n">
        <x:v>535</x:v>
      </x:c>
      <x:c r="G93" s="25" t="n">
        <x:v>742</x:v>
      </x:c>
      <x:c r="H93" s="25" t="n">
        <x:v>330</x:v>
      </x:c>
      <x:c r="I93" s="25" t="n">
        <x:f>E93+G93</x:f>
        <x:v>1520</x:v>
      </x:c>
      <x:c r="J93" s="25" t="n">
        <x:f>F93+H93</x:f>
        <x:v>865</x:v>
      </x:c>
      <x:c r="K93" s="25" t="n">
        <x:v>24</x:v>
      </x:c>
      <x:c r="L93" s="24" t="str">
        <x:v>NoOverlap</x:v>
      </x:c>
      <x:c r="M93" s="24" t="str">
        <x:v>Recommandation volume</x:v>
      </x:c>
    </x:row>
    <x:row r="94">
      <x:c r="A94" s="24" t="str">
        <x:v>Alertes</x:v>
      </x:c>
      <x:c r="B94" s="24" t="str">
        <x:v>G05_Table</x:v>
      </x:c>
      <x:c r="C94" s="24" t="str">
        <x:v>Table_Detail_Alertes</x:v>
      </x:c>
      <x:c r="D94" s="24" t="str">
        <x:v>Table/matrix</x:v>
      </x:c>
      <x:c r="E94" s="25" t="n">
        <x:v>20</x:v>
      </x:c>
      <x:c r="F94" s="25" t="n">
        <x:v>885</x:v>
      </x:c>
      <x:c r="G94" s="25" t="n">
        <x:v>1500</x:v>
      </x:c>
      <x:c r="H94" s="25" t="n">
        <x:v>430</x:v>
      </x:c>
      <x:c r="I94" s="25" t="n">
        <x:f>E94+G94</x:f>
        <x:v>1520</x:v>
      </x:c>
      <x:c r="J94" s="25" t="n">
        <x:f>F94+H94</x:f>
        <x:v>1315</x:v>
      </x:c>
      <x:c r="K94" s="25" t="n">
        <x:v>25</x:v>
      </x:c>
      <x:c r="L94" s="24" t="str">
        <x:v>NoOverlap</x:v>
      </x:c>
      <x:c r="M94" s="24" t="str">
        <x:v>Détail alertes</x:v>
      </x:c>
    </x:row>
    <x:row r="95">
      <x:c r="A95" s="24" t="str">
        <x:v>Glossaire</x:v>
      </x:c>
      <x:c r="B95" s="24" t="str">
        <x:v>G02_Glossaire_Table</x:v>
      </x:c>
      <x:c r="C95" s="24" t="str">
        <x:v>Table_Glossaire</x:v>
      </x:c>
      <x:c r="D95" s="24" t="str">
        <x:v>Table/matrix</x:v>
      </x:c>
      <x:c r="E95" s="25" t="n">
        <x:v>20</x:v>
      </x:c>
      <x:c r="F95" s="25" t="n">
        <x:v>260</x:v>
      </x:c>
      <x:c r="G95" s="25" t="n">
        <x:v>1500</x:v>
      </x:c>
      <x:c r="H95" s="25" t="n">
        <x:v>750</x:v>
      </x:c>
      <x:c r="I95" s="25" t="n">
        <x:f>E95+G95</x:f>
        <x:v>1520</x:v>
      </x:c>
      <x:c r="J95" s="25" t="n">
        <x:f>F95+H95</x:f>
        <x:v>1010</x:v>
      </x:c>
      <x:c r="K95" s="25" t="n">
        <x:v>20</x:v>
      </x:c>
      <x:c r="L95" s="24" t="str">
        <x:v>NoOverlap</x:v>
      </x:c>
      <x:c r="M95" s="24" t="str">
        <x:v>Glossaire KPI</x:v>
      </x:c>
    </x:row>
  </x:sheetData>
  <x:pageMargins left="0.7" right="0.7" top="0.75" bottom="0.75" header="0.3" footer="0.3"/>
  <x:tableParts count="1">
    <x:tablePart xmlns:r="http://schemas.openxmlformats.org/officeDocument/2006/relationships" r:id="Rfe85be1d2a7042b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24" hidden="0" customWidth="1"/>
    <x:col min="5" max="5" width="2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10" hidden="0" customWidth="1"/>
    <x:col min="11" max="11" width="10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2" hidden="0" customWidth="1"/>
    <x:col min="21" max="21" width="22" hidden="0" customWidth="1"/>
    <x:col min="22" max="22" width="22" hidden="0" customWidth="1"/>
    <x:col min="23" max="23" width="38" hidden="0" customWidth="1"/>
  </x:cols>
  <x:sheetData>
    <x:row r="1">
      <x:c r="A1" s="23" t="str">
        <x:v>Page</x:v>
      </x:c>
      <x:c r="B1" s="23" t="str">
        <x:v>Groupe A</x:v>
      </x:c>
      <x:c r="C1" s="23" t="str">
        <x:v>Objet A</x:v>
      </x:c>
      <x:c r="D1" s="23" t="str">
        <x:v>Groupe B</x:v>
      </x:c>
      <x:c r="E1" s="23" t="str">
        <x:v>Objet B</x:v>
      </x:c>
      <x:c r="F1" s="23" t="str">
        <x:v>X1</x:v>
      </x:c>
      <x:c r="G1" s="23" t="str">
        <x:v>Y1</x:v>
      </x:c>
      <x:c r="H1" s="23" t="str">
        <x:v>W1</x:v>
      </x:c>
      <x:c r="I1" s="23" t="str">
        <x:v>H1</x:v>
      </x:c>
      <x:c r="J1" s="23" t="str">
        <x:v>Right1</x:v>
      </x:c>
      <x:c r="K1" s="23" t="str">
        <x:v>Bottom1</x:v>
      </x:c>
      <x:c r="L1" s="23" t="str">
        <x:v>X2</x:v>
      </x:c>
      <x:c r="M1" s="23" t="str">
        <x:v>Y2</x:v>
      </x:c>
      <x:c r="N1" s="23" t="str">
        <x:v>W2</x:v>
      </x:c>
      <x:c r="O1" s="23" t="str">
        <x:v>H2</x:v>
      </x:c>
      <x:c r="P1" s="23" t="str">
        <x:v>Right2</x:v>
      </x:c>
      <x:c r="Q1" s="23" t="str">
        <x:v>Bottom2</x:v>
      </x:c>
      <x:c r="R1" s="23" t="str">
        <x:v>Overlap_W</x:v>
      </x:c>
      <x:c r="S1" s="23" t="str">
        <x:v>Overlap_H</x:v>
      </x:c>
      <x:c r="T1" s="23" t="str">
        <x:v>Overlap_Area</x:v>
      </x:c>
      <x:c r="U1" s="23" t="str">
        <x:v>Statut formule</x:v>
      </x:c>
      <x:c r="V1" s="23" t="str">
        <x:v>Statut pré-calculé</x:v>
      </x:c>
      <x:c r="W1" s="23" t="str">
        <x:v>Action</x:v>
      </x:c>
    </x:row>
    <x:row r="2">
      <x:c r="A2" s="24" t="str">
        <x:v>Accueil</x:v>
      </x:c>
      <x:c r="B2" s="24" t="str">
        <x:v>G00_Header_Global</x:v>
      </x:c>
      <x:c r="C2" s="24" t="str">
        <x:v>Header_Global</x:v>
      </x:c>
      <x:c r="D2" s="24" t="str">
        <x:v>G01_Title_Zone</x:v>
      </x:c>
      <x:c r="E2" s="24" t="str">
        <x:v>Title_Zone</x:v>
      </x:c>
      <x:c r="F2" s="25" t="n">
        <x:v>0</x:v>
      </x:c>
      <x:c r="G2" s="25" t="n">
        <x:v>0</x:v>
      </x:c>
      <x:c r="H2" s="25" t="n">
        <x:v>1540</x:v>
      </x:c>
      <x:c r="I2" s="25" t="n">
        <x:v>88</x:v>
      </x:c>
      <x:c r="J2" s="25" t="n">
        <x:f>F2+H2</x:f>
        <x:v>1540</x:v>
      </x:c>
      <x:c r="K2" s="25" t="n">
        <x:f>G2+I2</x:f>
        <x:v>88</x:v>
      </x:c>
      <x:c r="L2" s="25" t="n">
        <x:v>20</x:v>
      </x:c>
      <x:c r="M2" s="25" t="n">
        <x:v>110</x:v>
      </x:c>
      <x:c r="N2" s="25" t="n">
        <x:v>1500</x:v>
      </x:c>
      <x:c r="O2" s="25" t="n">
        <x:v>132</x:v>
      </x:c>
      <x:c r="P2" s="25" t="n">
        <x:f>L2+N2</x:f>
        <x:v>1520</x:v>
      </x:c>
      <x:c r="Q2" s="25" t="n">
        <x:f>M2+O2</x:f>
        <x:v>242</x:v>
      </x:c>
      <x:c r="R2" s="25" t="n">
        <x:f>MAX(0,MIN(J2,P2)-MAX(F2,L2))</x:f>
        <x:v>1500</x:v>
      </x:c>
      <x:c r="S2" s="25" t="n">
        <x:f>MAX(0,MIN(K2,Q2)-MAX(G2,M2))</x:f>
        <x:v>0</x:v>
      </x:c>
      <x:c r="T2" s="25" t="n">
        <x:f>R2*S2</x:f>
        <x:v>0</x:v>
      </x:c>
      <x:c r="U2" s="24" t="str">
        <x:f>IF(T2&gt;0,"ERREUR chevauchement","OK aucun chevauchement")</x:f>
        <x:v>OK aucun chevauchement</x:v>
      </x:c>
      <x:c r="V2" s="24" t="str">
        <x:v>OK aucun chevauchement</x:v>
      </x:c>
      <x:c r="W2" s="24" t="str">
        <x:v>Si ERREUR : déplacer/redimensionner l’objet B ou créer un bookmark/masquage</x:v>
      </x:c>
    </x:row>
    <x:row r="3">
      <x:c r="A3" s="24" t="str">
        <x:v>Accueil</x:v>
      </x:c>
      <x:c r="B3" s="24" t="str">
        <x:v>G00_Header_Global</x:v>
      </x:c>
      <x:c r="C3" s="24" t="str">
        <x:v>Header_Global</x:v>
      </x:c>
      <x:c r="D3" s="24" t="str">
        <x:v>G02_Toolbar</x:v>
      </x:c>
      <x:c r="E3" s="24" t="str">
        <x:v>Toolbar_Slicers_FieldParams</x:v>
      </x:c>
      <x:c r="F3" s="25" t="n">
        <x:v>0</x:v>
      </x:c>
      <x:c r="G3" s="25" t="n">
        <x:v>0</x:v>
      </x:c>
      <x:c r="H3" s="25" t="n">
        <x:v>1540</x:v>
      </x:c>
      <x:c r="I3" s="25" t="n">
        <x:v>88</x:v>
      </x:c>
      <x:c r="J3" s="25" t="n">
        <x:f>F3+H3</x:f>
        <x:v>1540</x:v>
      </x:c>
      <x:c r="K3" s="25" t="n">
        <x:f>G3+I3</x:f>
        <x:v>88</x:v>
      </x:c>
      <x:c r="L3" s="25" t="n">
        <x:v>20</x:v>
      </x:c>
      <x:c r="M3" s="25" t="n">
        <x:v>260</x:v>
      </x:c>
      <x:c r="N3" s="25" t="n">
        <x:v>1500</x:v>
      </x:c>
      <x:c r="O3" s="25" t="n">
        <x:v>56</x:v>
      </x:c>
      <x:c r="P3" s="25" t="n">
        <x:f>L3+N3</x:f>
        <x:v>1520</x:v>
      </x:c>
      <x:c r="Q3" s="25" t="n">
        <x:f>M3+O3</x:f>
        <x:v>316</x:v>
      </x:c>
      <x:c r="R3" s="25" t="n">
        <x:f>MAX(0,MIN(J3,P3)-MAX(F3,L3))</x:f>
        <x:v>1500</x:v>
      </x:c>
      <x:c r="S3" s="25" t="n">
        <x:f>MAX(0,MIN(K3,Q3)-MAX(G3,M3))</x:f>
        <x:v>0</x:v>
      </x:c>
      <x:c r="T3" s="25" t="n">
        <x:f>R3*S3</x:f>
        <x:v>0</x:v>
      </x:c>
      <x:c r="U3" s="24" t="str">
        <x:f>IF(T3&gt;0,"ERREUR chevauchement","OK aucun chevauchement")</x:f>
        <x:v>OK aucun chevauchement</x:v>
      </x:c>
      <x:c r="V3" s="24" t="str">
        <x:v>OK aucun chevauchement</x:v>
      </x:c>
      <x:c r="W3" s="24" t="str">
        <x:v>Si ERREUR : déplacer/redimensionner l’objet B ou créer un bookmark/masquage</x:v>
      </x:c>
    </x:row>
    <x:row r="4">
      <x:c r="A4" s="24" t="str">
        <x:v>Accueil</x:v>
      </x:c>
      <x:c r="B4" s="24" t="str">
        <x:v>G00_Header_Global</x:v>
      </x:c>
      <x:c r="C4" s="24" t="str">
        <x:v>Header_Global</x:v>
      </x:c>
      <x:c r="D4" s="24" t="str">
        <x:v>G03_KPI_Row</x:v>
      </x:c>
      <x:c r="E4" s="24" t="str">
        <x:v>KPI_Card_01</x:v>
      </x:c>
      <x:c r="F4" s="25" t="n">
        <x:v>0</x:v>
      </x:c>
      <x:c r="G4" s="25" t="n">
        <x:v>0</x:v>
      </x:c>
      <x:c r="H4" s="25" t="n">
        <x:v>1540</x:v>
      </x:c>
      <x:c r="I4" s="25" t="n">
        <x:v>88</x:v>
      </x:c>
      <x:c r="J4" s="25" t="n">
        <x:f>F4+H4</x:f>
        <x:v>1540</x:v>
      </x:c>
      <x:c r="K4" s="25" t="n">
        <x:f>G4+I4</x:f>
        <x:v>88</x:v>
      </x:c>
      <x:c r="L4" s="25" t="n">
        <x:v>20</x:v>
      </x:c>
      <x:c r="M4" s="25" t="n">
        <x:v>330</x:v>
      </x:c>
      <x:c r="N4" s="25" t="n">
        <x:v>287</x:v>
      </x:c>
      <x:c r="O4" s="25" t="n">
        <x:v>180</x:v>
      </x:c>
      <x:c r="P4" s="25" t="n">
        <x:f>L4+N4</x:f>
        <x:v>307</x:v>
      </x:c>
      <x:c r="Q4" s="25" t="n">
        <x:f>M4+O4</x:f>
        <x:v>510</x:v>
      </x:c>
      <x:c r="R4" s="25" t="n">
        <x:f>MAX(0,MIN(J4,P4)-MAX(F4,L4))</x:f>
        <x:v>287</x:v>
      </x:c>
      <x:c r="S4" s="25" t="n">
        <x:f>MAX(0,MIN(K4,Q4)-MAX(G4,M4))</x:f>
        <x:v>0</x:v>
      </x:c>
      <x:c r="T4" s="25" t="n">
        <x:f>R4*S4</x:f>
        <x:v>0</x:v>
      </x:c>
      <x:c r="U4" s="24" t="str">
        <x:f>IF(T4&gt;0,"ERREUR chevauchement","OK aucun chevauchement")</x:f>
        <x:v>OK aucun chevauchement</x:v>
      </x:c>
      <x:c r="V4" s="24" t="str">
        <x:v>OK aucun chevauchement</x:v>
      </x:c>
      <x:c r="W4" s="24" t="str">
        <x:v>Si ERREUR : déplacer/redimensionner l’objet B ou créer un bookmark/masquage</x:v>
      </x:c>
    </x:row>
    <x:row r="5">
      <x:c r="A5" s="24" t="str">
        <x:v>Accueil</x:v>
      </x:c>
      <x:c r="B5" s="24" t="str">
        <x:v>G00_Header_Global</x:v>
      </x:c>
      <x:c r="C5" s="24" t="str">
        <x:v>Header_Global</x:v>
      </x:c>
      <x:c r="D5" s="24" t="str">
        <x:v>G03_KPI_Row</x:v>
      </x:c>
      <x:c r="E5" s="24" t="str">
        <x:v>KPI_Card_02</x:v>
      </x:c>
      <x:c r="F5" s="25" t="n">
        <x:v>0</x:v>
      </x:c>
      <x:c r="G5" s="25" t="n">
        <x:v>0</x:v>
      </x:c>
      <x:c r="H5" s="25" t="n">
        <x:v>1540</x:v>
      </x:c>
      <x:c r="I5" s="25" t="n">
        <x:v>88</x:v>
      </x:c>
      <x:c r="J5" s="25" t="n">
        <x:f>F5+H5</x:f>
        <x:v>1540</x:v>
      </x:c>
      <x:c r="K5" s="25" t="n">
        <x:f>G5+I5</x:f>
        <x:v>88</x:v>
      </x:c>
      <x:c r="L5" s="25" t="n">
        <x:v>323</x:v>
      </x:c>
      <x:c r="M5" s="25" t="n">
        <x:v>330</x:v>
      </x:c>
      <x:c r="N5" s="25" t="n">
        <x:v>287</x:v>
      </x:c>
      <x:c r="O5" s="25" t="n">
        <x:v>180</x:v>
      </x:c>
      <x:c r="P5" s="25" t="n">
        <x:f>L5+N5</x:f>
        <x:v>610</x:v>
      </x:c>
      <x:c r="Q5" s="25" t="n">
        <x:f>M5+O5</x:f>
        <x:v>510</x:v>
      </x:c>
      <x:c r="R5" s="25" t="n">
        <x:f>MAX(0,MIN(J5,P5)-MAX(F5,L5))</x:f>
        <x:v>287</x:v>
      </x:c>
      <x:c r="S5" s="25" t="n">
        <x:f>MAX(0,MIN(K5,Q5)-MAX(G5,M5))</x:f>
        <x:v>0</x:v>
      </x:c>
      <x:c r="T5" s="25" t="n">
        <x:f>R5*S5</x:f>
        <x:v>0</x:v>
      </x:c>
      <x:c r="U5" s="24" t="str">
        <x:f>IF(T5&gt;0,"ERREUR chevauchement","OK aucun chevauchement")</x:f>
        <x:v>OK aucun chevauchement</x:v>
      </x:c>
      <x:c r="V5" s="24" t="str">
        <x:v>OK aucun chevauchement</x:v>
      </x:c>
      <x:c r="W5" s="24" t="str">
        <x:v>Si ERREUR : déplacer/redimensionner l’objet B ou créer un bookmark/masquage</x:v>
      </x:c>
    </x:row>
    <x:row r="6">
      <x:c r="A6" s="24" t="str">
        <x:v>Accueil</x:v>
      </x:c>
      <x:c r="B6" s="24" t="str">
        <x:v>G00_Header_Global</x:v>
      </x:c>
      <x:c r="C6" s="24" t="str">
        <x:v>Header_Global</x:v>
      </x:c>
      <x:c r="D6" s="24" t="str">
        <x:v>G03_KPI_Row</x:v>
      </x:c>
      <x:c r="E6" s="24" t="str">
        <x:v>KPI_Card_03</x:v>
      </x:c>
      <x:c r="F6" s="25" t="n">
        <x:v>0</x:v>
      </x:c>
      <x:c r="G6" s="25" t="n">
        <x:v>0</x:v>
      </x:c>
      <x:c r="H6" s="25" t="n">
        <x:v>1540</x:v>
      </x:c>
      <x:c r="I6" s="25" t="n">
        <x:v>88</x:v>
      </x:c>
      <x:c r="J6" s="25" t="n">
        <x:f>F6+H6</x:f>
        <x:v>1540</x:v>
      </x:c>
      <x:c r="K6" s="25" t="n">
        <x:f>G6+I6</x:f>
        <x:v>88</x:v>
      </x:c>
      <x:c r="L6" s="25" t="n">
        <x:v>626</x:v>
      </x:c>
      <x:c r="M6" s="25" t="n">
        <x:v>330</x:v>
      </x:c>
      <x:c r="N6" s="25" t="n">
        <x:v>287</x:v>
      </x:c>
      <x:c r="O6" s="25" t="n">
        <x:v>180</x:v>
      </x:c>
      <x:c r="P6" s="25" t="n">
        <x:f>L6+N6</x:f>
        <x:v>913</x:v>
      </x:c>
      <x:c r="Q6" s="25" t="n">
        <x:f>M6+O6</x:f>
        <x:v>510</x:v>
      </x:c>
      <x:c r="R6" s="25" t="n">
        <x:f>MAX(0,MIN(J6,P6)-MAX(F6,L6))</x:f>
        <x:v>287</x:v>
      </x:c>
      <x:c r="S6" s="25" t="n">
        <x:f>MAX(0,MIN(K6,Q6)-MAX(G6,M6))</x:f>
        <x:v>0</x:v>
      </x:c>
      <x:c r="T6" s="25" t="n">
        <x:f>R6*S6</x:f>
        <x:v>0</x:v>
      </x:c>
      <x:c r="U6" s="24" t="str">
        <x:f>IF(T6&gt;0,"ERREUR chevauchement","OK aucun chevauchement")</x:f>
        <x:v>OK aucun chevauchement</x:v>
      </x:c>
      <x:c r="V6" s="24" t="str">
        <x:v>OK aucun chevauchement</x:v>
      </x:c>
      <x:c r="W6" s="24" t="str">
        <x:v>Si ERREUR : déplacer/redimensionner l’objet B ou créer un bookmark/masquage</x:v>
      </x:c>
    </x:row>
    <x:row r="7">
      <x:c r="A7" s="24" t="str">
        <x:v>Accueil</x:v>
      </x:c>
      <x:c r="B7" s="24" t="str">
        <x:v>G00_Header_Global</x:v>
      </x:c>
      <x:c r="C7" s="24" t="str">
        <x:v>Header_Global</x:v>
      </x:c>
      <x:c r="D7" s="24" t="str">
        <x:v>G03_KPI_Row</x:v>
      </x:c>
      <x:c r="E7" s="24" t="str">
        <x:v>KPI_Card_04</x:v>
      </x:c>
      <x:c r="F7" s="25" t="n">
        <x:v>0</x:v>
      </x:c>
      <x:c r="G7" s="25" t="n">
        <x:v>0</x:v>
      </x:c>
      <x:c r="H7" s="25" t="n">
        <x:v>1540</x:v>
      </x:c>
      <x:c r="I7" s="25" t="n">
        <x:v>88</x:v>
      </x:c>
      <x:c r="J7" s="25" t="n">
        <x:f>F7+H7</x:f>
        <x:v>1540</x:v>
      </x:c>
      <x:c r="K7" s="25" t="n">
        <x:f>G7+I7</x:f>
        <x:v>88</x:v>
      </x:c>
      <x:c r="L7" s="25" t="n">
        <x:v>929</x:v>
      </x:c>
      <x:c r="M7" s="25" t="n">
        <x:v>330</x:v>
      </x:c>
      <x:c r="N7" s="25" t="n">
        <x:v>287</x:v>
      </x:c>
      <x:c r="O7" s="25" t="n">
        <x:v>180</x:v>
      </x:c>
      <x:c r="P7" s="25" t="n">
        <x:f>L7+N7</x:f>
        <x:v>1216</x:v>
      </x:c>
      <x:c r="Q7" s="25" t="n">
        <x:f>M7+O7</x:f>
        <x:v>510</x:v>
      </x:c>
      <x:c r="R7" s="25" t="n">
        <x:f>MAX(0,MIN(J7,P7)-MAX(F7,L7))</x:f>
        <x:v>287</x:v>
      </x:c>
      <x:c r="S7" s="25" t="n">
        <x:f>MAX(0,MIN(K7,Q7)-MAX(G7,M7))</x:f>
        <x:v>0</x:v>
      </x:c>
      <x:c r="T7" s="25" t="n">
        <x:f>R7*S7</x:f>
        <x:v>0</x:v>
      </x:c>
      <x:c r="U7" s="24" t="str">
        <x:f>IF(T7&gt;0,"ERREUR chevauchement","OK aucun chevauchement")</x:f>
        <x:v>OK aucun chevauchement</x:v>
      </x:c>
      <x:c r="V7" s="24" t="str">
        <x:v>OK aucun chevauchement</x:v>
      </x:c>
      <x:c r="W7" s="24" t="str">
        <x:v>Si ERREUR : déplacer/redimensionner l’objet B ou créer un bookmark/masquage</x:v>
      </x:c>
    </x:row>
    <x:row r="8">
      <x:c r="A8" s="24" t="str">
        <x:v>Accueil</x:v>
      </x:c>
      <x:c r="B8" s="24" t="str">
        <x:v>G00_Header_Global</x:v>
      </x:c>
      <x:c r="C8" s="24" t="str">
        <x:v>Header_Global</x:v>
      </x:c>
      <x:c r="D8" s="24" t="str">
        <x:v>G03_KPI_Row</x:v>
      </x:c>
      <x:c r="E8" s="24" t="str">
        <x:v>KPI_Card_05</x:v>
      </x:c>
      <x:c r="F8" s="25" t="n">
        <x:v>0</x:v>
      </x:c>
      <x:c r="G8" s="25" t="n">
        <x:v>0</x:v>
      </x:c>
      <x:c r="H8" s="25" t="n">
        <x:v>1540</x:v>
      </x:c>
      <x:c r="I8" s="25" t="n">
        <x:v>88</x:v>
      </x:c>
      <x:c r="J8" s="25" t="n">
        <x:f>F8+H8</x:f>
        <x:v>1540</x:v>
      </x:c>
      <x:c r="K8" s="25" t="n">
        <x:f>G8+I8</x:f>
        <x:v>88</x:v>
      </x:c>
      <x:c r="L8" s="25" t="n">
        <x:v>1232</x:v>
      </x:c>
      <x:c r="M8" s="25" t="n">
        <x:v>330</x:v>
      </x:c>
      <x:c r="N8" s="25" t="n">
        <x:v>287</x:v>
      </x:c>
      <x:c r="O8" s="25" t="n">
        <x:v>180</x:v>
      </x:c>
      <x:c r="P8" s="25" t="n">
        <x:f>L8+N8</x:f>
        <x:v>1519</x:v>
      </x:c>
      <x:c r="Q8" s="25" t="n">
        <x:f>M8+O8</x:f>
        <x:v>510</x:v>
      </x:c>
      <x:c r="R8" s="25" t="n">
        <x:f>MAX(0,MIN(J8,P8)-MAX(F8,L8))</x:f>
        <x:v>287</x:v>
      </x:c>
      <x:c r="S8" s="25" t="n">
        <x:f>MAX(0,MIN(K8,Q8)-MAX(G8,M8))</x:f>
        <x:v>0</x:v>
      </x:c>
      <x:c r="T8" s="25" t="n">
        <x:f>R8*S8</x:f>
        <x:v>0</x:v>
      </x:c>
      <x:c r="U8" s="24" t="str">
        <x:f>IF(T8&gt;0,"ERREUR chevauchement","OK aucun chevauchement")</x:f>
        <x:v>OK aucun chevauchement</x:v>
      </x:c>
      <x:c r="V8" s="24" t="str">
        <x:v>OK aucun chevauchement</x:v>
      </x:c>
      <x:c r="W8" s="24" t="str">
        <x:v>Si ERREUR : déplacer/redimensionner l’objet B ou créer un bookmark/masquage</x:v>
      </x:c>
    </x:row>
    <x:row r="9">
      <x:c r="A9" s="24" t="str">
        <x:v>Accueil</x:v>
      </x:c>
      <x:c r="B9" s="24" t="str">
        <x:v>G00_Header_Global</x:v>
      </x:c>
      <x:c r="C9" s="24" t="str">
        <x:v>Header_Global</x:v>
      </x:c>
      <x:c r="D9" s="24" t="str">
        <x:v>G04_Gauges</x:v>
      </x:c>
      <x:c r="E9" s="24" t="str">
        <x:v>Gauge_Alertes_Row</x:v>
      </x:c>
      <x:c r="F9" s="25" t="n">
        <x:v>0</x:v>
      </x:c>
      <x:c r="G9" s="25" t="n">
        <x:v>0</x:v>
      </x:c>
      <x:c r="H9" s="25" t="n">
        <x:v>1540</x:v>
      </x:c>
      <x:c r="I9" s="25" t="n">
        <x:v>88</x:v>
      </x:c>
      <x:c r="J9" s="25" t="n">
        <x:f>F9+H9</x:f>
        <x:v>1540</x:v>
      </x:c>
      <x:c r="K9" s="25" t="n">
        <x:f>G9+I9</x:f>
        <x:v>88</x:v>
      </x:c>
      <x:c r="L9" s="25" t="n">
        <x:v>20</x:v>
      </x:c>
      <x:c r="M9" s="25" t="n">
        <x:v>530</x:v>
      </x:c>
      <x:c r="N9" s="25" t="n">
        <x:v>1500</x:v>
      </x:c>
      <x:c r="O9" s="25" t="n">
        <x:v>132</x:v>
      </x:c>
      <x:c r="P9" s="25" t="n">
        <x:f>L9+N9</x:f>
        <x:v>1520</x:v>
      </x:c>
      <x:c r="Q9" s="25" t="n">
        <x:f>M9+O9</x:f>
        <x:v>662</x:v>
      </x:c>
      <x:c r="R9" s="25" t="n">
        <x:f>MAX(0,MIN(J9,P9)-MAX(F9,L9))</x:f>
        <x:v>1500</x:v>
      </x:c>
      <x:c r="S9" s="25" t="n">
        <x:f>MAX(0,MIN(K9,Q9)-MAX(G9,M9))</x:f>
        <x:v>0</x:v>
      </x:c>
      <x:c r="T9" s="25" t="n">
        <x:f>R9*S9</x:f>
        <x:v>0</x:v>
      </x:c>
      <x:c r="U9" s="24" t="str">
        <x:f>IF(T9&gt;0,"ERREUR chevauchement","OK aucun chevauchement")</x:f>
        <x:v>OK aucun chevauchement</x:v>
      </x:c>
      <x:c r="V9" s="24" t="str">
        <x:v>OK aucun chevauchement</x:v>
      </x:c>
      <x:c r="W9" s="24" t="str">
        <x:v>Si ERREUR : déplacer/redimensionner l’objet B ou créer un bookmark/masquage</x:v>
      </x:c>
    </x:row>
    <x:row r="10">
      <x:c r="A10" s="24" t="str">
        <x:v>Accueil</x:v>
      </x:c>
      <x:c r="B10" s="24" t="str">
        <x:v>G00_Header_Global</x:v>
      </x:c>
      <x:c r="C10" s="24" t="str">
        <x:v>Header_Global</x:v>
      </x:c>
      <x:c r="D10" s="24" t="str">
        <x:v>G05_Alertes_Reco</x:v>
      </x:c>
      <x:c r="E10" s="24" t="str">
        <x:v>Bloc_Alertes</x:v>
      </x:c>
      <x:c r="F10" s="25" t="n">
        <x:v>0</x:v>
      </x:c>
      <x:c r="G10" s="25" t="n">
        <x:v>0</x:v>
      </x:c>
      <x:c r="H10" s="25" t="n">
        <x:v>1540</x:v>
      </x:c>
      <x:c r="I10" s="25" t="n">
        <x:v>88</x:v>
      </x:c>
      <x:c r="J10" s="25" t="n">
        <x:f>F10+H10</x:f>
        <x:v>1540</x:v>
      </x:c>
      <x:c r="K10" s="25" t="n">
        <x:f>G10+I10</x:f>
        <x:v>88</x:v>
      </x:c>
      <x:c r="L10" s="25" t="n">
        <x:v>20</x:v>
      </x:c>
      <x:c r="M10" s="25" t="n">
        <x:v>682</x:v>
      </x:c>
      <x:c r="N10" s="25" t="n">
        <x:v>742</x:v>
      </x:c>
      <x:c r="O10" s="25" t="n">
        <x:v>280</x:v>
      </x:c>
      <x:c r="P10" s="25" t="n">
        <x:f>L10+N10</x:f>
        <x:v>762</x:v>
      </x:c>
      <x:c r="Q10" s="25" t="n">
        <x:f>M10+O10</x:f>
        <x:v>962</x:v>
      </x:c>
      <x:c r="R10" s="25" t="n">
        <x:f>MAX(0,MIN(J10,P10)-MAX(F10,L10))</x:f>
        <x:v>742</x:v>
      </x:c>
      <x:c r="S10" s="25" t="n">
        <x:f>MAX(0,MIN(K10,Q10)-MAX(G10,M10))</x:f>
        <x:v>0</x:v>
      </x:c>
      <x:c r="T10" s="25" t="n">
        <x:f>R10*S10</x:f>
        <x:v>0</x:v>
      </x:c>
      <x:c r="U10" s="24" t="str">
        <x:f>IF(T10&gt;0,"ERREUR chevauchement","OK aucun chevauchement")</x:f>
        <x:v>OK aucun chevauchement</x:v>
      </x:c>
      <x:c r="V10" s="24" t="str">
        <x:v>OK aucun chevauchement</x:v>
      </x:c>
      <x:c r="W10" s="24" t="str">
        <x:v>Si ERREUR : déplacer/redimensionner l’objet B ou créer un bookmark/masquage</x:v>
      </x:c>
    </x:row>
    <x:row r="11">
      <x:c r="A11" s="24" t="str">
        <x:v>Accueil</x:v>
      </x:c>
      <x:c r="B11" s="24" t="str">
        <x:v>G00_Header_Global</x:v>
      </x:c>
      <x:c r="C11" s="24" t="str">
        <x:v>Header_Global</x:v>
      </x:c>
      <x:c r="D11" s="24" t="str">
        <x:v>G05_Alertes_Reco</x:v>
      </x:c>
      <x:c r="E11" s="24" t="str">
        <x:v>Bloc_Recommandation</x:v>
      </x:c>
      <x:c r="F11" s="25" t="n">
        <x:v>0</x:v>
      </x:c>
      <x:c r="G11" s="25" t="n">
        <x:v>0</x:v>
      </x:c>
      <x:c r="H11" s="25" t="n">
        <x:v>1540</x:v>
      </x:c>
      <x:c r="I11" s="25" t="n">
        <x:v>88</x:v>
      </x:c>
      <x:c r="J11" s="25" t="n">
        <x:f>F11+H11</x:f>
        <x:v>1540</x:v>
      </x:c>
      <x:c r="K11" s="25" t="n">
        <x:f>G11+I11</x:f>
        <x:v>88</x:v>
      </x:c>
      <x:c r="L11" s="25" t="n">
        <x:v>778</x:v>
      </x:c>
      <x:c r="M11" s="25" t="n">
        <x:v>682</x:v>
      </x:c>
      <x:c r="N11" s="25" t="n">
        <x:v>742</x:v>
      </x:c>
      <x:c r="O11" s="25" t="n">
        <x:v>280</x:v>
      </x:c>
      <x:c r="P11" s="25" t="n">
        <x:f>L11+N11</x:f>
        <x:v>1520</x:v>
      </x:c>
      <x:c r="Q11" s="25" t="n">
        <x:f>M11+O11</x:f>
        <x:v>962</x:v>
      </x:c>
      <x:c r="R11" s="25" t="n">
        <x:f>MAX(0,MIN(J11,P11)-MAX(F11,L11))</x:f>
        <x:v>742</x:v>
      </x:c>
      <x:c r="S11" s="25" t="n">
        <x:f>MAX(0,MIN(K11,Q11)-MAX(G11,M11))</x:f>
        <x:v>0</x:v>
      </x:c>
      <x:c r="T11" s="25" t="n">
        <x:f>R11*S11</x:f>
        <x:v>0</x:v>
      </x:c>
      <x:c r="U11" s="24" t="str">
        <x:f>IF(T11&gt;0,"ERREUR chevauchement","OK aucun chevauchement")</x:f>
        <x:v>OK aucun chevauchement</x:v>
      </x:c>
      <x:c r="V11" s="24" t="str">
        <x:v>OK aucun chevauchement</x:v>
      </x:c>
      <x:c r="W11" s="24" t="str">
        <x:v>Si ERREUR : déplacer/redimensionner l’objet B ou créer un bookmark/masquage</x:v>
      </x:c>
    </x:row>
    <x:row r="12">
      <x:c r="A12" s="24" t="str">
        <x:v>Accueil</x:v>
      </x:c>
      <x:c r="B12" s="24" t="str">
        <x:v>G00_Header_Global</x:v>
      </x:c>
      <x:c r="C12" s="24" t="str">
        <x:v>Header_Global</x:v>
      </x:c>
      <x:c r="D12" s="24" t="str">
        <x:v>G06_Charts</x:v>
      </x:c>
      <x:c r="E12" s="24" t="str">
        <x:v>Line_Affaires</x:v>
      </x:c>
      <x:c r="F12" s="25" t="n">
        <x:v>0</x:v>
      </x:c>
      <x:c r="G12" s="25" t="n">
        <x:v>0</x:v>
      </x:c>
      <x:c r="H12" s="25" t="n">
        <x:v>1540</x:v>
      </x:c>
      <x:c r="I12" s="25" t="n">
        <x:v>88</x:v>
      </x:c>
      <x:c r="J12" s="25" t="n">
        <x:f>F12+H12</x:f>
        <x:v>1540</x:v>
      </x:c>
      <x:c r="K12" s="25" t="n">
        <x:f>G12+I12</x:f>
        <x:v>88</x:v>
      </x:c>
      <x:c r="L12" s="25" t="n">
        <x:v>20</x:v>
      </x:c>
      <x:c r="M12" s="25" t="n">
        <x:v>982</x:v>
      </x:c>
      <x:c r="N12" s="25" t="n">
        <x:v>742</x:v>
      </x:c>
      <x:c r="O12" s="25" t="n">
        <x:v>360</x:v>
      </x:c>
      <x:c r="P12" s="25" t="n">
        <x:f>L12+N12</x:f>
        <x:v>762</x:v>
      </x:c>
      <x:c r="Q12" s="25" t="n">
        <x:f>M12+O12</x:f>
        <x:v>1342</x:v>
      </x:c>
      <x:c r="R12" s="25" t="n">
        <x:f>MAX(0,MIN(J12,P12)-MAX(F12,L12))</x:f>
        <x:v>742</x:v>
      </x:c>
      <x:c r="S12" s="25" t="n">
        <x:f>MAX(0,MIN(K12,Q12)-MAX(G12,M12))</x:f>
        <x:v>0</x:v>
      </x:c>
      <x:c r="T12" s="25" t="n">
        <x:f>R12*S12</x:f>
        <x:v>0</x:v>
      </x:c>
      <x:c r="U12" s="24" t="str">
        <x:f>IF(T12&gt;0,"ERREUR chevauchement","OK aucun chevauchement")</x:f>
        <x:v>OK aucun chevauchement</x:v>
      </x:c>
      <x:c r="V12" s="24" t="str">
        <x:v>OK aucun chevauchement</x:v>
      </x:c>
      <x:c r="W12" s="24" t="str">
        <x:v>Si ERREUR : déplacer/redimensionner l’objet B ou créer un bookmark/masquage</x:v>
      </x:c>
    </x:row>
    <x:row r="13">
      <x:c r="A13" s="24" t="str">
        <x:v>Accueil</x:v>
      </x:c>
      <x:c r="B13" s="24" t="str">
        <x:v>G00_Header_Global</x:v>
      </x:c>
      <x:c r="C13" s="24" t="str">
        <x:v>Header_Global</x:v>
      </x:c>
      <x:c r="D13" s="24" t="str">
        <x:v>G06_Charts</x:v>
      </x:c>
      <x:c r="E13" s="24" t="str">
        <x:v>Bar_Repartition</x:v>
      </x:c>
      <x:c r="F13" s="25" t="n">
        <x:v>0</x:v>
      </x:c>
      <x:c r="G13" s="25" t="n">
        <x:v>0</x:v>
      </x:c>
      <x:c r="H13" s="25" t="n">
        <x:v>1540</x:v>
      </x:c>
      <x:c r="I13" s="25" t="n">
        <x:v>88</x:v>
      </x:c>
      <x:c r="J13" s="25" t="n">
        <x:f>F13+H13</x:f>
        <x:v>1540</x:v>
      </x:c>
      <x:c r="K13" s="25" t="n">
        <x:f>G13+I13</x:f>
        <x:v>88</x:v>
      </x:c>
      <x:c r="L13" s="25" t="n">
        <x:v>778</x:v>
      </x:c>
      <x:c r="M13" s="25" t="n">
        <x:v>982</x:v>
      </x:c>
      <x:c r="N13" s="25" t="n">
        <x:v>742</x:v>
      </x:c>
      <x:c r="O13" s="25" t="n">
        <x:v>360</x:v>
      </x:c>
      <x:c r="P13" s="25" t="n">
        <x:f>L13+N13</x:f>
        <x:v>1520</x:v>
      </x:c>
      <x:c r="Q13" s="25" t="n">
        <x:f>M13+O13</x:f>
        <x:v>1342</x:v>
      </x:c>
      <x:c r="R13" s="25" t="n">
        <x:f>MAX(0,MIN(J13,P13)-MAX(F13,L13))</x:f>
        <x:v>742</x:v>
      </x:c>
      <x:c r="S13" s="25" t="n">
        <x:f>MAX(0,MIN(K13,Q13)-MAX(G13,M13))</x:f>
        <x:v>0</x:v>
      </x:c>
      <x:c r="T13" s="25" t="n">
        <x:f>R13*S13</x:f>
        <x:v>0</x:v>
      </x:c>
      <x:c r="U13" s="24" t="str">
        <x:f>IF(T13&gt;0,"ERREUR chevauchement","OK aucun chevauchement")</x:f>
        <x:v>OK aucun chevauchement</x:v>
      </x:c>
      <x:c r="V13" s="24" t="str">
        <x:v>OK aucun chevauchement</x:v>
      </x:c>
      <x:c r="W13" s="24" t="str">
        <x:v>Si ERREUR : déplacer/redimensionner l’objet B ou créer un bookmark/masquage</x:v>
      </x:c>
    </x:row>
    <x:row r="14">
      <x:c r="A14" s="24" t="str">
        <x:v>Accueil</x:v>
      </x:c>
      <x:c r="B14" s="24" t="str">
        <x:v>G01_Title_Zone</x:v>
      </x:c>
      <x:c r="C14" s="24" t="str">
        <x:v>Title_Zone</x:v>
      </x:c>
      <x:c r="D14" s="24" t="str">
        <x:v>G02_Toolbar</x:v>
      </x:c>
      <x:c r="E14" s="24" t="str">
        <x:v>Toolbar_Slicers_FieldParams</x:v>
      </x:c>
      <x:c r="F14" s="25" t="n">
        <x:v>20</x:v>
      </x:c>
      <x:c r="G14" s="25" t="n">
        <x:v>110</x:v>
      </x:c>
      <x:c r="H14" s="25" t="n">
        <x:v>1500</x:v>
      </x:c>
      <x:c r="I14" s="25" t="n">
        <x:v>132</x:v>
      </x:c>
      <x:c r="J14" s="25" t="n">
        <x:f>F14+H14</x:f>
        <x:v>1520</x:v>
      </x:c>
      <x:c r="K14" s="25" t="n">
        <x:f>G14+I14</x:f>
        <x:v>242</x:v>
      </x:c>
      <x:c r="L14" s="25" t="n">
        <x:v>20</x:v>
      </x:c>
      <x:c r="M14" s="25" t="n">
        <x:v>260</x:v>
      </x:c>
      <x:c r="N14" s="25" t="n">
        <x:v>1500</x:v>
      </x:c>
      <x:c r="O14" s="25" t="n">
        <x:v>56</x:v>
      </x:c>
      <x:c r="P14" s="25" t="n">
        <x:f>L14+N14</x:f>
        <x:v>1520</x:v>
      </x:c>
      <x:c r="Q14" s="25" t="n">
        <x:f>M14+O14</x:f>
        <x:v>316</x:v>
      </x:c>
      <x:c r="R14" s="25" t="n">
        <x:f>MAX(0,MIN(J14,P14)-MAX(F14,L14))</x:f>
        <x:v>1500</x:v>
      </x:c>
      <x:c r="S14" s="25" t="n">
        <x:f>MAX(0,MIN(K14,Q14)-MAX(G14,M14))</x:f>
        <x:v>0</x:v>
      </x:c>
      <x:c r="T14" s="25" t="n">
        <x:f>R14*S14</x:f>
        <x:v>0</x:v>
      </x:c>
      <x:c r="U14" s="24" t="str">
        <x:f>IF(T14&gt;0,"ERREUR chevauchement","OK aucun chevauchement")</x:f>
        <x:v>OK aucun chevauchement</x:v>
      </x:c>
      <x:c r="V14" s="24" t="str">
        <x:v>OK aucun chevauchement</x:v>
      </x:c>
      <x:c r="W14" s="24" t="str">
        <x:v>Si ERREUR : déplacer/redimensionner l’objet B ou créer un bookmark/masquage</x:v>
      </x:c>
    </x:row>
    <x:row r="15">
      <x:c r="A15" s="24" t="str">
        <x:v>Accueil</x:v>
      </x:c>
      <x:c r="B15" s="24" t="str">
        <x:v>G01_Title_Zone</x:v>
      </x:c>
      <x:c r="C15" s="24" t="str">
        <x:v>Title_Zone</x:v>
      </x:c>
      <x:c r="D15" s="24" t="str">
        <x:v>G03_KPI_Row</x:v>
      </x:c>
      <x:c r="E15" s="24" t="str">
        <x:v>KPI_Card_01</x:v>
      </x:c>
      <x:c r="F15" s="25" t="n">
        <x:v>20</x:v>
      </x:c>
      <x:c r="G15" s="25" t="n">
        <x:v>110</x:v>
      </x:c>
      <x:c r="H15" s="25" t="n">
        <x:v>1500</x:v>
      </x:c>
      <x:c r="I15" s="25" t="n">
        <x:v>132</x:v>
      </x:c>
      <x:c r="J15" s="25" t="n">
        <x:f>F15+H15</x:f>
        <x:v>1520</x:v>
      </x:c>
      <x:c r="K15" s="25" t="n">
        <x:f>G15+I15</x:f>
        <x:v>242</x:v>
      </x:c>
      <x:c r="L15" s="25" t="n">
        <x:v>20</x:v>
      </x:c>
      <x:c r="M15" s="25" t="n">
        <x:v>330</x:v>
      </x:c>
      <x:c r="N15" s="25" t="n">
        <x:v>287</x:v>
      </x:c>
      <x:c r="O15" s="25" t="n">
        <x:v>180</x:v>
      </x:c>
      <x:c r="P15" s="25" t="n">
        <x:f>L15+N15</x:f>
        <x:v>307</x:v>
      </x:c>
      <x:c r="Q15" s="25" t="n">
        <x:f>M15+O15</x:f>
        <x:v>510</x:v>
      </x:c>
      <x:c r="R15" s="25" t="n">
        <x:f>MAX(0,MIN(J15,P15)-MAX(F15,L15))</x:f>
        <x:v>287</x:v>
      </x:c>
      <x:c r="S15" s="25" t="n">
        <x:f>MAX(0,MIN(K15,Q15)-MAX(G15,M15))</x:f>
        <x:v>0</x:v>
      </x:c>
      <x:c r="T15" s="25" t="n">
        <x:f>R15*S15</x:f>
        <x:v>0</x:v>
      </x:c>
      <x:c r="U15" s="24" t="str">
        <x:f>IF(T15&gt;0,"ERREUR chevauchement","OK aucun chevauchement")</x:f>
        <x:v>OK aucun chevauchement</x:v>
      </x:c>
      <x:c r="V15" s="24" t="str">
        <x:v>OK aucun chevauchement</x:v>
      </x:c>
      <x:c r="W15" s="24" t="str">
        <x:v>Si ERREUR : déplacer/redimensionner l’objet B ou créer un bookmark/masquage</x:v>
      </x:c>
    </x:row>
    <x:row r="16">
      <x:c r="A16" s="24" t="str">
        <x:v>Accueil</x:v>
      </x:c>
      <x:c r="B16" s="24" t="str">
        <x:v>G01_Title_Zone</x:v>
      </x:c>
      <x:c r="C16" s="24" t="str">
        <x:v>Title_Zone</x:v>
      </x:c>
      <x:c r="D16" s="24" t="str">
        <x:v>G03_KPI_Row</x:v>
      </x:c>
      <x:c r="E16" s="24" t="str">
        <x:v>KPI_Card_02</x:v>
      </x:c>
      <x:c r="F16" s="25" t="n">
        <x:v>20</x:v>
      </x:c>
      <x:c r="G16" s="25" t="n">
        <x:v>110</x:v>
      </x:c>
      <x:c r="H16" s="25" t="n">
        <x:v>1500</x:v>
      </x:c>
      <x:c r="I16" s="25" t="n">
        <x:v>132</x:v>
      </x:c>
      <x:c r="J16" s="25" t="n">
        <x:f>F16+H16</x:f>
        <x:v>1520</x:v>
      </x:c>
      <x:c r="K16" s="25" t="n">
        <x:f>G16+I16</x:f>
        <x:v>242</x:v>
      </x:c>
      <x:c r="L16" s="25" t="n">
        <x:v>323</x:v>
      </x:c>
      <x:c r="M16" s="25" t="n">
        <x:v>330</x:v>
      </x:c>
      <x:c r="N16" s="25" t="n">
        <x:v>287</x:v>
      </x:c>
      <x:c r="O16" s="25" t="n">
        <x:v>180</x:v>
      </x:c>
      <x:c r="P16" s="25" t="n">
        <x:f>L16+N16</x:f>
        <x:v>610</x:v>
      </x:c>
      <x:c r="Q16" s="25" t="n">
        <x:f>M16+O16</x:f>
        <x:v>510</x:v>
      </x:c>
      <x:c r="R16" s="25" t="n">
        <x:f>MAX(0,MIN(J16,P16)-MAX(F16,L16))</x:f>
        <x:v>287</x:v>
      </x:c>
      <x:c r="S16" s="25" t="n">
        <x:f>MAX(0,MIN(K16,Q16)-MAX(G16,M16))</x:f>
        <x:v>0</x:v>
      </x:c>
      <x:c r="T16" s="25" t="n">
        <x:f>R16*S16</x:f>
        <x:v>0</x:v>
      </x:c>
      <x:c r="U16" s="24" t="str">
        <x:f>IF(T16&gt;0,"ERREUR chevauchement","OK aucun chevauchement")</x:f>
        <x:v>OK aucun chevauchement</x:v>
      </x:c>
      <x:c r="V16" s="24" t="str">
        <x:v>OK aucun chevauchement</x:v>
      </x:c>
      <x:c r="W16" s="24" t="str">
        <x:v>Si ERREUR : déplacer/redimensionner l’objet B ou créer un bookmark/masquage</x:v>
      </x:c>
    </x:row>
    <x:row r="17">
      <x:c r="A17" s="24" t="str">
        <x:v>Accueil</x:v>
      </x:c>
      <x:c r="B17" s="24" t="str">
        <x:v>G01_Title_Zone</x:v>
      </x:c>
      <x:c r="C17" s="24" t="str">
        <x:v>Title_Zone</x:v>
      </x:c>
      <x:c r="D17" s="24" t="str">
        <x:v>G03_KPI_Row</x:v>
      </x:c>
      <x:c r="E17" s="24" t="str">
        <x:v>KPI_Card_03</x:v>
      </x:c>
      <x:c r="F17" s="25" t="n">
        <x:v>20</x:v>
      </x:c>
      <x:c r="G17" s="25" t="n">
        <x:v>110</x:v>
      </x:c>
      <x:c r="H17" s="25" t="n">
        <x:v>1500</x:v>
      </x:c>
      <x:c r="I17" s="25" t="n">
        <x:v>132</x:v>
      </x:c>
      <x:c r="J17" s="25" t="n">
        <x:f>F17+H17</x:f>
        <x:v>1520</x:v>
      </x:c>
      <x:c r="K17" s="25" t="n">
        <x:f>G17+I17</x:f>
        <x:v>242</x:v>
      </x:c>
      <x:c r="L17" s="25" t="n">
        <x:v>626</x:v>
      </x:c>
      <x:c r="M17" s="25" t="n">
        <x:v>330</x:v>
      </x:c>
      <x:c r="N17" s="25" t="n">
        <x:v>287</x:v>
      </x:c>
      <x:c r="O17" s="25" t="n">
        <x:v>180</x:v>
      </x:c>
      <x:c r="P17" s="25" t="n">
        <x:f>L17+N17</x:f>
        <x:v>913</x:v>
      </x:c>
      <x:c r="Q17" s="25" t="n">
        <x:f>M17+O17</x:f>
        <x:v>510</x:v>
      </x:c>
      <x:c r="R17" s="25" t="n">
        <x:f>MAX(0,MIN(J17,P17)-MAX(F17,L17))</x:f>
        <x:v>287</x:v>
      </x:c>
      <x:c r="S17" s="25" t="n">
        <x:f>MAX(0,MIN(K17,Q17)-MAX(G17,M17))</x:f>
        <x:v>0</x:v>
      </x:c>
      <x:c r="T17" s="25" t="n">
        <x:f>R17*S17</x:f>
        <x:v>0</x:v>
      </x:c>
      <x:c r="U17" s="24" t="str">
        <x:f>IF(T17&gt;0,"ERREUR chevauchement","OK aucun chevauchement")</x:f>
        <x:v>OK aucun chevauchement</x:v>
      </x:c>
      <x:c r="V17" s="24" t="str">
        <x:v>OK aucun chevauchement</x:v>
      </x:c>
      <x:c r="W17" s="24" t="str">
        <x:v>Si ERREUR : déplacer/redimensionner l’objet B ou créer un bookmark/masquage</x:v>
      </x:c>
    </x:row>
    <x:row r="18">
      <x:c r="A18" s="24" t="str">
        <x:v>Accueil</x:v>
      </x:c>
      <x:c r="B18" s="24" t="str">
        <x:v>G01_Title_Zone</x:v>
      </x:c>
      <x:c r="C18" s="24" t="str">
        <x:v>Title_Zone</x:v>
      </x:c>
      <x:c r="D18" s="24" t="str">
        <x:v>G03_KPI_Row</x:v>
      </x:c>
      <x:c r="E18" s="24" t="str">
        <x:v>KPI_Card_04</x:v>
      </x:c>
      <x:c r="F18" s="25" t="n">
        <x:v>20</x:v>
      </x:c>
      <x:c r="G18" s="25" t="n">
        <x:v>110</x:v>
      </x:c>
      <x:c r="H18" s="25" t="n">
        <x:v>1500</x:v>
      </x:c>
      <x:c r="I18" s="25" t="n">
        <x:v>132</x:v>
      </x:c>
      <x:c r="J18" s="25" t="n">
        <x:f>F18+H18</x:f>
        <x:v>1520</x:v>
      </x:c>
      <x:c r="K18" s="25" t="n">
        <x:f>G18+I18</x:f>
        <x:v>242</x:v>
      </x:c>
      <x:c r="L18" s="25" t="n">
        <x:v>929</x:v>
      </x:c>
      <x:c r="M18" s="25" t="n">
        <x:v>330</x:v>
      </x:c>
      <x:c r="N18" s="25" t="n">
        <x:v>287</x:v>
      </x:c>
      <x:c r="O18" s="25" t="n">
        <x:v>180</x:v>
      </x:c>
      <x:c r="P18" s="25" t="n">
        <x:f>L18+N18</x:f>
        <x:v>1216</x:v>
      </x:c>
      <x:c r="Q18" s="25" t="n">
        <x:f>M18+O18</x:f>
        <x:v>510</x:v>
      </x:c>
      <x:c r="R18" s="25" t="n">
        <x:f>MAX(0,MIN(J18,P18)-MAX(F18,L18))</x:f>
        <x:v>287</x:v>
      </x:c>
      <x:c r="S18" s="25" t="n">
        <x:f>MAX(0,MIN(K18,Q18)-MAX(G18,M18))</x:f>
        <x:v>0</x:v>
      </x:c>
      <x:c r="T18" s="25" t="n">
        <x:f>R18*S18</x:f>
        <x:v>0</x:v>
      </x:c>
      <x:c r="U18" s="24" t="str">
        <x:f>IF(T18&gt;0,"ERREUR chevauchement","OK aucun chevauchement")</x:f>
        <x:v>OK aucun chevauchement</x:v>
      </x:c>
      <x:c r="V18" s="24" t="str">
        <x:v>OK aucun chevauchement</x:v>
      </x:c>
      <x:c r="W18" s="24" t="str">
        <x:v>Si ERREUR : déplacer/redimensionner l’objet B ou créer un bookmark/masquage</x:v>
      </x:c>
    </x:row>
    <x:row r="19">
      <x:c r="A19" s="24" t="str">
        <x:v>Accueil</x:v>
      </x:c>
      <x:c r="B19" s="24" t="str">
        <x:v>G01_Title_Zone</x:v>
      </x:c>
      <x:c r="C19" s="24" t="str">
        <x:v>Title_Zone</x:v>
      </x:c>
      <x:c r="D19" s="24" t="str">
        <x:v>G03_KPI_Row</x:v>
      </x:c>
      <x:c r="E19" s="24" t="str">
        <x:v>KPI_Card_05</x:v>
      </x:c>
      <x:c r="F19" s="25" t="n">
        <x:v>20</x:v>
      </x:c>
      <x:c r="G19" s="25" t="n">
        <x:v>110</x:v>
      </x:c>
      <x:c r="H19" s="25" t="n">
        <x:v>1500</x:v>
      </x:c>
      <x:c r="I19" s="25" t="n">
        <x:v>132</x:v>
      </x:c>
      <x:c r="J19" s="25" t="n">
        <x:f>F19+H19</x:f>
        <x:v>1520</x:v>
      </x:c>
      <x:c r="K19" s="25" t="n">
        <x:f>G19+I19</x:f>
        <x:v>242</x:v>
      </x:c>
      <x:c r="L19" s="25" t="n">
        <x:v>1232</x:v>
      </x:c>
      <x:c r="M19" s="25" t="n">
        <x:v>330</x:v>
      </x:c>
      <x:c r="N19" s="25" t="n">
        <x:v>287</x:v>
      </x:c>
      <x:c r="O19" s="25" t="n">
        <x:v>180</x:v>
      </x:c>
      <x:c r="P19" s="25" t="n">
        <x:f>L19+N19</x:f>
        <x:v>1519</x:v>
      </x:c>
      <x:c r="Q19" s="25" t="n">
        <x:f>M19+O19</x:f>
        <x:v>510</x:v>
      </x:c>
      <x:c r="R19" s="25" t="n">
        <x:f>MAX(0,MIN(J19,P19)-MAX(F19,L19))</x:f>
        <x:v>287</x:v>
      </x:c>
      <x:c r="S19" s="25" t="n">
        <x:f>MAX(0,MIN(K19,Q19)-MAX(G19,M19))</x:f>
        <x:v>0</x:v>
      </x:c>
      <x:c r="T19" s="25" t="n">
        <x:f>R19*S19</x:f>
        <x:v>0</x:v>
      </x:c>
      <x:c r="U19" s="24" t="str">
        <x:f>IF(T19&gt;0,"ERREUR chevauchement","OK aucun chevauchement")</x:f>
        <x:v>OK aucun chevauchement</x:v>
      </x:c>
      <x:c r="V19" s="24" t="str">
        <x:v>OK aucun chevauchement</x:v>
      </x:c>
      <x:c r="W19" s="24" t="str">
        <x:v>Si ERREUR : déplacer/redimensionner l’objet B ou créer un bookmark/masquage</x:v>
      </x:c>
    </x:row>
    <x:row r="20">
      <x:c r="A20" s="24" t="str">
        <x:v>Accueil</x:v>
      </x:c>
      <x:c r="B20" s="24" t="str">
        <x:v>G01_Title_Zone</x:v>
      </x:c>
      <x:c r="C20" s="24" t="str">
        <x:v>Title_Zone</x:v>
      </x:c>
      <x:c r="D20" s="24" t="str">
        <x:v>G04_Gauges</x:v>
      </x:c>
      <x:c r="E20" s="24" t="str">
        <x:v>Gauge_Alertes_Row</x:v>
      </x:c>
      <x:c r="F20" s="25" t="n">
        <x:v>20</x:v>
      </x:c>
      <x:c r="G20" s="25" t="n">
        <x:v>110</x:v>
      </x:c>
      <x:c r="H20" s="25" t="n">
        <x:v>1500</x:v>
      </x:c>
      <x:c r="I20" s="25" t="n">
        <x:v>132</x:v>
      </x:c>
      <x:c r="J20" s="25" t="n">
        <x:f>F20+H20</x:f>
        <x:v>1520</x:v>
      </x:c>
      <x:c r="K20" s="25" t="n">
        <x:f>G20+I20</x:f>
        <x:v>242</x:v>
      </x:c>
      <x:c r="L20" s="25" t="n">
        <x:v>20</x:v>
      </x:c>
      <x:c r="M20" s="25" t="n">
        <x:v>530</x:v>
      </x:c>
      <x:c r="N20" s="25" t="n">
        <x:v>1500</x:v>
      </x:c>
      <x:c r="O20" s="25" t="n">
        <x:v>132</x:v>
      </x:c>
      <x:c r="P20" s="25" t="n">
        <x:f>L20+N20</x:f>
        <x:v>1520</x:v>
      </x:c>
      <x:c r="Q20" s="25" t="n">
        <x:f>M20+O20</x:f>
        <x:v>662</x:v>
      </x:c>
      <x:c r="R20" s="25" t="n">
        <x:f>MAX(0,MIN(J20,P20)-MAX(F20,L20))</x:f>
        <x:v>1500</x:v>
      </x:c>
      <x:c r="S20" s="25" t="n">
        <x:f>MAX(0,MIN(K20,Q20)-MAX(G20,M20))</x:f>
        <x:v>0</x:v>
      </x:c>
      <x:c r="T20" s="25" t="n">
        <x:f>R20*S20</x:f>
        <x:v>0</x:v>
      </x:c>
      <x:c r="U20" s="24" t="str">
        <x:f>IF(T20&gt;0,"ERREUR chevauchement","OK aucun chevauchement")</x:f>
        <x:v>OK aucun chevauchement</x:v>
      </x:c>
      <x:c r="V20" s="24" t="str">
        <x:v>OK aucun chevauchement</x:v>
      </x:c>
      <x:c r="W20" s="24" t="str">
        <x:v>Si ERREUR : déplacer/redimensionner l’objet B ou créer un bookmark/masquage</x:v>
      </x:c>
    </x:row>
    <x:row r="21">
      <x:c r="A21" s="24" t="str">
        <x:v>Accueil</x:v>
      </x:c>
      <x:c r="B21" s="24" t="str">
        <x:v>G01_Title_Zone</x:v>
      </x:c>
      <x:c r="C21" s="24" t="str">
        <x:v>Title_Zone</x:v>
      </x:c>
      <x:c r="D21" s="24" t="str">
        <x:v>G05_Alertes_Reco</x:v>
      </x:c>
      <x:c r="E21" s="24" t="str">
        <x:v>Bloc_Alertes</x:v>
      </x:c>
      <x:c r="F21" s="25" t="n">
        <x:v>20</x:v>
      </x:c>
      <x:c r="G21" s="25" t="n">
        <x:v>110</x:v>
      </x:c>
      <x:c r="H21" s="25" t="n">
        <x:v>1500</x:v>
      </x:c>
      <x:c r="I21" s="25" t="n">
        <x:v>132</x:v>
      </x:c>
      <x:c r="J21" s="25" t="n">
        <x:f>F21+H21</x:f>
        <x:v>1520</x:v>
      </x:c>
      <x:c r="K21" s="25" t="n">
        <x:f>G21+I21</x:f>
        <x:v>242</x:v>
      </x:c>
      <x:c r="L21" s="25" t="n">
        <x:v>20</x:v>
      </x:c>
      <x:c r="M21" s="25" t="n">
        <x:v>682</x:v>
      </x:c>
      <x:c r="N21" s="25" t="n">
        <x:v>742</x:v>
      </x:c>
      <x:c r="O21" s="25" t="n">
        <x:v>280</x:v>
      </x:c>
      <x:c r="P21" s="25" t="n">
        <x:f>L21+N21</x:f>
        <x:v>762</x:v>
      </x:c>
      <x:c r="Q21" s="25" t="n">
        <x:f>M21+O21</x:f>
        <x:v>962</x:v>
      </x:c>
      <x:c r="R21" s="25" t="n">
        <x:f>MAX(0,MIN(J21,P21)-MAX(F21,L21))</x:f>
        <x:v>742</x:v>
      </x:c>
      <x:c r="S21" s="25" t="n">
        <x:f>MAX(0,MIN(K21,Q21)-MAX(G21,M21))</x:f>
        <x:v>0</x:v>
      </x:c>
      <x:c r="T21" s="25" t="n">
        <x:f>R21*S21</x:f>
        <x:v>0</x:v>
      </x:c>
      <x:c r="U21" s="24" t="str">
        <x:f>IF(T21&gt;0,"ERREUR chevauchement","OK aucun chevauchement")</x:f>
        <x:v>OK aucun chevauchement</x:v>
      </x:c>
      <x:c r="V21" s="24" t="str">
        <x:v>OK aucun chevauchement</x:v>
      </x:c>
      <x:c r="W21" s="24" t="str">
        <x:v>Si ERREUR : déplacer/redimensionner l’objet B ou créer un bookmark/masquage</x:v>
      </x:c>
    </x:row>
    <x:row r="22">
      <x:c r="A22" s="24" t="str">
        <x:v>Accueil</x:v>
      </x:c>
      <x:c r="B22" s="24" t="str">
        <x:v>G01_Title_Zone</x:v>
      </x:c>
      <x:c r="C22" s="24" t="str">
        <x:v>Title_Zone</x:v>
      </x:c>
      <x:c r="D22" s="24" t="str">
        <x:v>G05_Alertes_Reco</x:v>
      </x:c>
      <x:c r="E22" s="24" t="str">
        <x:v>Bloc_Recommandation</x:v>
      </x:c>
      <x:c r="F22" s="25" t="n">
        <x:v>20</x:v>
      </x:c>
      <x:c r="G22" s="25" t="n">
        <x:v>110</x:v>
      </x:c>
      <x:c r="H22" s="25" t="n">
        <x:v>1500</x:v>
      </x:c>
      <x:c r="I22" s="25" t="n">
        <x:v>132</x:v>
      </x:c>
      <x:c r="J22" s="25" t="n">
        <x:f>F22+H22</x:f>
        <x:v>1520</x:v>
      </x:c>
      <x:c r="K22" s="25" t="n">
        <x:f>G22+I22</x:f>
        <x:v>242</x:v>
      </x:c>
      <x:c r="L22" s="25" t="n">
        <x:v>778</x:v>
      </x:c>
      <x:c r="M22" s="25" t="n">
        <x:v>682</x:v>
      </x:c>
      <x:c r="N22" s="25" t="n">
        <x:v>742</x:v>
      </x:c>
      <x:c r="O22" s="25" t="n">
        <x:v>280</x:v>
      </x:c>
      <x:c r="P22" s="25" t="n">
        <x:f>L22+N22</x:f>
        <x:v>1520</x:v>
      </x:c>
      <x:c r="Q22" s="25" t="n">
        <x:f>M22+O22</x:f>
        <x:v>962</x:v>
      </x:c>
      <x:c r="R22" s="25" t="n">
        <x:f>MAX(0,MIN(J22,P22)-MAX(F22,L22))</x:f>
        <x:v>742</x:v>
      </x:c>
      <x:c r="S22" s="25" t="n">
        <x:f>MAX(0,MIN(K22,Q22)-MAX(G22,M22))</x:f>
        <x:v>0</x:v>
      </x:c>
      <x:c r="T22" s="25" t="n">
        <x:f>R22*S22</x:f>
        <x:v>0</x:v>
      </x:c>
      <x:c r="U22" s="24" t="str">
        <x:f>IF(T22&gt;0,"ERREUR chevauchement","OK aucun chevauchement")</x:f>
        <x:v>OK aucun chevauchement</x:v>
      </x:c>
      <x:c r="V22" s="24" t="str">
        <x:v>OK aucun chevauchement</x:v>
      </x:c>
      <x:c r="W22" s="24" t="str">
        <x:v>Si ERREUR : déplacer/redimensionner l’objet B ou créer un bookmark/masquage</x:v>
      </x:c>
    </x:row>
    <x:row r="23">
      <x:c r="A23" s="24" t="str">
        <x:v>Accueil</x:v>
      </x:c>
      <x:c r="B23" s="24" t="str">
        <x:v>G01_Title_Zone</x:v>
      </x:c>
      <x:c r="C23" s="24" t="str">
        <x:v>Title_Zone</x:v>
      </x:c>
      <x:c r="D23" s="24" t="str">
        <x:v>G06_Charts</x:v>
      </x:c>
      <x:c r="E23" s="24" t="str">
        <x:v>Line_Affaires</x:v>
      </x:c>
      <x:c r="F23" s="25" t="n">
        <x:v>20</x:v>
      </x:c>
      <x:c r="G23" s="25" t="n">
        <x:v>110</x:v>
      </x:c>
      <x:c r="H23" s="25" t="n">
        <x:v>1500</x:v>
      </x:c>
      <x:c r="I23" s="25" t="n">
        <x:v>132</x:v>
      </x:c>
      <x:c r="J23" s="25" t="n">
        <x:f>F23+H23</x:f>
        <x:v>1520</x:v>
      </x:c>
      <x:c r="K23" s="25" t="n">
        <x:f>G23+I23</x:f>
        <x:v>242</x:v>
      </x:c>
      <x:c r="L23" s="25" t="n">
        <x:v>20</x:v>
      </x:c>
      <x:c r="M23" s="25" t="n">
        <x:v>982</x:v>
      </x:c>
      <x:c r="N23" s="25" t="n">
        <x:v>742</x:v>
      </x:c>
      <x:c r="O23" s="25" t="n">
        <x:v>360</x:v>
      </x:c>
      <x:c r="P23" s="25" t="n">
        <x:f>L23+N23</x:f>
        <x:v>762</x:v>
      </x:c>
      <x:c r="Q23" s="25" t="n">
        <x:f>M23+O23</x:f>
        <x:v>1342</x:v>
      </x:c>
      <x:c r="R23" s="25" t="n">
        <x:f>MAX(0,MIN(J23,P23)-MAX(F23,L23))</x:f>
        <x:v>742</x:v>
      </x:c>
      <x:c r="S23" s="25" t="n">
        <x:f>MAX(0,MIN(K23,Q23)-MAX(G23,M23))</x:f>
        <x:v>0</x:v>
      </x:c>
      <x:c r="T23" s="25" t="n">
        <x:f>R23*S23</x:f>
        <x:v>0</x:v>
      </x:c>
      <x:c r="U23" s="24" t="str">
        <x:f>IF(T23&gt;0,"ERREUR chevauchement","OK aucun chevauchement")</x:f>
        <x:v>OK aucun chevauchement</x:v>
      </x:c>
      <x:c r="V23" s="24" t="str">
        <x:v>OK aucun chevauchement</x:v>
      </x:c>
      <x:c r="W23" s="24" t="str">
        <x:v>Si ERREUR : déplacer/redimensionner l’objet B ou créer un bookmark/masquage</x:v>
      </x:c>
    </x:row>
    <x:row r="24">
      <x:c r="A24" s="24" t="str">
        <x:v>Accueil</x:v>
      </x:c>
      <x:c r="B24" s="24" t="str">
        <x:v>G01_Title_Zone</x:v>
      </x:c>
      <x:c r="C24" s="24" t="str">
        <x:v>Title_Zone</x:v>
      </x:c>
      <x:c r="D24" s="24" t="str">
        <x:v>G06_Charts</x:v>
      </x:c>
      <x:c r="E24" s="24" t="str">
        <x:v>Bar_Repartition</x:v>
      </x:c>
      <x:c r="F24" s="25" t="n">
        <x:v>20</x:v>
      </x:c>
      <x:c r="G24" s="25" t="n">
        <x:v>110</x:v>
      </x:c>
      <x:c r="H24" s="25" t="n">
        <x:v>1500</x:v>
      </x:c>
      <x:c r="I24" s="25" t="n">
        <x:v>132</x:v>
      </x:c>
      <x:c r="J24" s="25" t="n">
        <x:f>F24+H24</x:f>
        <x:v>1520</x:v>
      </x:c>
      <x:c r="K24" s="25" t="n">
        <x:f>G24+I24</x:f>
        <x:v>242</x:v>
      </x:c>
      <x:c r="L24" s="25" t="n">
        <x:v>778</x:v>
      </x:c>
      <x:c r="M24" s="25" t="n">
        <x:v>982</x:v>
      </x:c>
      <x:c r="N24" s="25" t="n">
        <x:v>742</x:v>
      </x:c>
      <x:c r="O24" s="25" t="n">
        <x:v>360</x:v>
      </x:c>
      <x:c r="P24" s="25" t="n">
        <x:f>L24+N24</x:f>
        <x:v>1520</x:v>
      </x:c>
      <x:c r="Q24" s="25" t="n">
        <x:f>M24+O24</x:f>
        <x:v>1342</x:v>
      </x:c>
      <x:c r="R24" s="25" t="n">
        <x:f>MAX(0,MIN(J24,P24)-MAX(F24,L24))</x:f>
        <x:v>742</x:v>
      </x:c>
      <x:c r="S24" s="25" t="n">
        <x:f>MAX(0,MIN(K24,Q24)-MAX(G24,M24))</x:f>
        <x:v>0</x:v>
      </x:c>
      <x:c r="T24" s="25" t="n">
        <x:f>R24*S24</x:f>
        <x:v>0</x:v>
      </x:c>
      <x:c r="U24" s="24" t="str">
        <x:f>IF(T24&gt;0,"ERREUR chevauchement","OK aucun chevauchement")</x:f>
        <x:v>OK aucun chevauchement</x:v>
      </x:c>
      <x:c r="V24" s="24" t="str">
        <x:v>OK aucun chevauchement</x:v>
      </x:c>
      <x:c r="W24" s="24" t="str">
        <x:v>Si ERREUR : déplacer/redimensionner l’objet B ou créer un bookmark/masquage</x:v>
      </x:c>
    </x:row>
    <x:row r="25">
      <x:c r="A25" s="24" t="str">
        <x:v>Accueil</x:v>
      </x:c>
      <x:c r="B25" s="24" t="str">
        <x:v>G02_Toolbar</x:v>
      </x:c>
      <x:c r="C25" s="24" t="str">
        <x:v>Toolbar_Slicers_FieldParams</x:v>
      </x:c>
      <x:c r="D25" s="24" t="str">
        <x:v>G03_KPI_Row</x:v>
      </x:c>
      <x:c r="E25" s="24" t="str">
        <x:v>KPI_Card_01</x:v>
      </x:c>
      <x:c r="F25" s="25" t="n">
        <x:v>20</x:v>
      </x:c>
      <x:c r="G25" s="25" t="n">
        <x:v>260</x:v>
      </x:c>
      <x:c r="H25" s="25" t="n">
        <x:v>1500</x:v>
      </x:c>
      <x:c r="I25" s="25" t="n">
        <x:v>56</x:v>
      </x:c>
      <x:c r="J25" s="25" t="n">
        <x:f>F25+H25</x:f>
        <x:v>1520</x:v>
      </x:c>
      <x:c r="K25" s="25" t="n">
        <x:f>G25+I25</x:f>
        <x:v>316</x:v>
      </x:c>
      <x:c r="L25" s="25" t="n">
        <x:v>20</x:v>
      </x:c>
      <x:c r="M25" s="25" t="n">
        <x:v>330</x:v>
      </x:c>
      <x:c r="N25" s="25" t="n">
        <x:v>287</x:v>
      </x:c>
      <x:c r="O25" s="25" t="n">
        <x:v>180</x:v>
      </x:c>
      <x:c r="P25" s="25" t="n">
        <x:f>L25+N25</x:f>
        <x:v>307</x:v>
      </x:c>
      <x:c r="Q25" s="25" t="n">
        <x:f>M25+O25</x:f>
        <x:v>510</x:v>
      </x:c>
      <x:c r="R25" s="25" t="n">
        <x:f>MAX(0,MIN(J25,P25)-MAX(F25,L25))</x:f>
        <x:v>287</x:v>
      </x:c>
      <x:c r="S25" s="25" t="n">
        <x:f>MAX(0,MIN(K25,Q25)-MAX(G25,M25))</x:f>
        <x:v>0</x:v>
      </x:c>
      <x:c r="T25" s="25" t="n">
        <x:f>R25*S25</x:f>
        <x:v>0</x:v>
      </x:c>
      <x:c r="U25" s="24" t="str">
        <x:f>IF(T25&gt;0,"ERREUR chevauchement","OK aucun chevauchement")</x:f>
        <x:v>OK aucun chevauchement</x:v>
      </x:c>
      <x:c r="V25" s="24" t="str">
        <x:v>OK aucun chevauchement</x:v>
      </x:c>
      <x:c r="W25" s="24" t="str">
        <x:v>Si ERREUR : déplacer/redimensionner l’objet B ou créer un bookmark/masquage</x:v>
      </x:c>
    </x:row>
    <x:row r="26">
      <x:c r="A26" s="24" t="str">
        <x:v>Accueil</x:v>
      </x:c>
      <x:c r="B26" s="24" t="str">
        <x:v>G02_Toolbar</x:v>
      </x:c>
      <x:c r="C26" s="24" t="str">
        <x:v>Toolbar_Slicers_FieldParams</x:v>
      </x:c>
      <x:c r="D26" s="24" t="str">
        <x:v>G03_KPI_Row</x:v>
      </x:c>
      <x:c r="E26" s="24" t="str">
        <x:v>KPI_Card_02</x:v>
      </x:c>
      <x:c r="F26" s="25" t="n">
        <x:v>20</x:v>
      </x:c>
      <x:c r="G26" s="25" t="n">
        <x:v>260</x:v>
      </x:c>
      <x:c r="H26" s="25" t="n">
        <x:v>1500</x:v>
      </x:c>
      <x:c r="I26" s="25" t="n">
        <x:v>56</x:v>
      </x:c>
      <x:c r="J26" s="25" t="n">
        <x:f>F26+H26</x:f>
        <x:v>1520</x:v>
      </x:c>
      <x:c r="K26" s="25" t="n">
        <x:f>G26+I26</x:f>
        <x:v>316</x:v>
      </x:c>
      <x:c r="L26" s="25" t="n">
        <x:v>323</x:v>
      </x:c>
      <x:c r="M26" s="25" t="n">
        <x:v>330</x:v>
      </x:c>
      <x:c r="N26" s="25" t="n">
        <x:v>287</x:v>
      </x:c>
      <x:c r="O26" s="25" t="n">
        <x:v>180</x:v>
      </x:c>
      <x:c r="P26" s="25" t="n">
        <x:f>L26+N26</x:f>
        <x:v>610</x:v>
      </x:c>
      <x:c r="Q26" s="25" t="n">
        <x:f>M26+O26</x:f>
        <x:v>510</x:v>
      </x:c>
      <x:c r="R26" s="25" t="n">
        <x:f>MAX(0,MIN(J26,P26)-MAX(F26,L26))</x:f>
        <x:v>287</x:v>
      </x:c>
      <x:c r="S26" s="25" t="n">
        <x:f>MAX(0,MIN(K26,Q26)-MAX(G26,M26))</x:f>
        <x:v>0</x:v>
      </x:c>
      <x:c r="T26" s="25" t="n">
        <x:f>R26*S26</x:f>
        <x:v>0</x:v>
      </x:c>
      <x:c r="U26" s="24" t="str">
        <x:f>IF(T26&gt;0,"ERREUR chevauchement","OK aucun chevauchement")</x:f>
        <x:v>OK aucun chevauchement</x:v>
      </x:c>
      <x:c r="V26" s="24" t="str">
        <x:v>OK aucun chevauchement</x:v>
      </x:c>
      <x:c r="W26" s="24" t="str">
        <x:v>Si ERREUR : déplacer/redimensionner l’objet B ou créer un bookmark/masquage</x:v>
      </x:c>
    </x:row>
    <x:row r="27">
      <x:c r="A27" s="24" t="str">
        <x:v>Accueil</x:v>
      </x:c>
      <x:c r="B27" s="24" t="str">
        <x:v>G02_Toolbar</x:v>
      </x:c>
      <x:c r="C27" s="24" t="str">
        <x:v>Toolbar_Slicers_FieldParams</x:v>
      </x:c>
      <x:c r="D27" s="24" t="str">
        <x:v>G03_KPI_Row</x:v>
      </x:c>
      <x:c r="E27" s="24" t="str">
        <x:v>KPI_Card_03</x:v>
      </x:c>
      <x:c r="F27" s="25" t="n">
        <x:v>20</x:v>
      </x:c>
      <x:c r="G27" s="25" t="n">
        <x:v>260</x:v>
      </x:c>
      <x:c r="H27" s="25" t="n">
        <x:v>1500</x:v>
      </x:c>
      <x:c r="I27" s="25" t="n">
        <x:v>56</x:v>
      </x:c>
      <x:c r="J27" s="25" t="n">
        <x:f>F27+H27</x:f>
        <x:v>1520</x:v>
      </x:c>
      <x:c r="K27" s="25" t="n">
        <x:f>G27+I27</x:f>
        <x:v>316</x:v>
      </x:c>
      <x:c r="L27" s="25" t="n">
        <x:v>626</x:v>
      </x:c>
      <x:c r="M27" s="25" t="n">
        <x:v>330</x:v>
      </x:c>
      <x:c r="N27" s="25" t="n">
        <x:v>287</x:v>
      </x:c>
      <x:c r="O27" s="25" t="n">
        <x:v>180</x:v>
      </x:c>
      <x:c r="P27" s="25" t="n">
        <x:f>L27+N27</x:f>
        <x:v>913</x:v>
      </x:c>
      <x:c r="Q27" s="25" t="n">
        <x:f>M27+O27</x:f>
        <x:v>510</x:v>
      </x:c>
      <x:c r="R27" s="25" t="n">
        <x:f>MAX(0,MIN(J27,P27)-MAX(F27,L27))</x:f>
        <x:v>287</x:v>
      </x:c>
      <x:c r="S27" s="25" t="n">
        <x:f>MAX(0,MIN(K27,Q27)-MAX(G27,M27))</x:f>
        <x:v>0</x:v>
      </x:c>
      <x:c r="T27" s="25" t="n">
        <x:f>R27*S27</x:f>
        <x:v>0</x:v>
      </x:c>
      <x:c r="U27" s="24" t="str">
        <x:f>IF(T27&gt;0,"ERREUR chevauchement","OK aucun chevauchement")</x:f>
        <x:v>OK aucun chevauchement</x:v>
      </x:c>
      <x:c r="V27" s="24" t="str">
        <x:v>OK aucun chevauchement</x:v>
      </x:c>
      <x:c r="W27" s="24" t="str">
        <x:v>Si ERREUR : déplacer/redimensionner l’objet B ou créer un bookmark/masquage</x:v>
      </x:c>
    </x:row>
    <x:row r="28">
      <x:c r="A28" s="24" t="str">
        <x:v>Accueil</x:v>
      </x:c>
      <x:c r="B28" s="24" t="str">
        <x:v>G02_Toolbar</x:v>
      </x:c>
      <x:c r="C28" s="24" t="str">
        <x:v>Toolbar_Slicers_FieldParams</x:v>
      </x:c>
      <x:c r="D28" s="24" t="str">
        <x:v>G03_KPI_Row</x:v>
      </x:c>
      <x:c r="E28" s="24" t="str">
        <x:v>KPI_Card_04</x:v>
      </x:c>
      <x:c r="F28" s="25" t="n">
        <x:v>20</x:v>
      </x:c>
      <x:c r="G28" s="25" t="n">
        <x:v>260</x:v>
      </x:c>
      <x:c r="H28" s="25" t="n">
        <x:v>1500</x:v>
      </x:c>
      <x:c r="I28" s="25" t="n">
        <x:v>56</x:v>
      </x:c>
      <x:c r="J28" s="25" t="n">
        <x:f>F28+H28</x:f>
        <x:v>1520</x:v>
      </x:c>
      <x:c r="K28" s="25" t="n">
        <x:f>G28+I28</x:f>
        <x:v>316</x:v>
      </x:c>
      <x:c r="L28" s="25" t="n">
        <x:v>929</x:v>
      </x:c>
      <x:c r="M28" s="25" t="n">
        <x:v>330</x:v>
      </x:c>
      <x:c r="N28" s="25" t="n">
        <x:v>287</x:v>
      </x:c>
      <x:c r="O28" s="25" t="n">
        <x:v>180</x:v>
      </x:c>
      <x:c r="P28" s="25" t="n">
        <x:f>L28+N28</x:f>
        <x:v>1216</x:v>
      </x:c>
      <x:c r="Q28" s="25" t="n">
        <x:f>M28+O28</x:f>
        <x:v>510</x:v>
      </x:c>
      <x:c r="R28" s="25" t="n">
        <x:f>MAX(0,MIN(J28,P28)-MAX(F28,L28))</x:f>
        <x:v>287</x:v>
      </x:c>
      <x:c r="S28" s="25" t="n">
        <x:f>MAX(0,MIN(K28,Q28)-MAX(G28,M28))</x:f>
        <x:v>0</x:v>
      </x:c>
      <x:c r="T28" s="25" t="n">
        <x:f>R28*S28</x:f>
        <x:v>0</x:v>
      </x:c>
      <x:c r="U28" s="24" t="str">
        <x:f>IF(T28&gt;0,"ERREUR chevauchement","OK aucun chevauchement")</x:f>
        <x:v>OK aucun chevauchement</x:v>
      </x:c>
      <x:c r="V28" s="24" t="str">
        <x:v>OK aucun chevauchement</x:v>
      </x:c>
      <x:c r="W28" s="24" t="str">
        <x:v>Si ERREUR : déplacer/redimensionner l’objet B ou créer un bookmark/masquage</x:v>
      </x:c>
    </x:row>
    <x:row r="29">
      <x:c r="A29" s="24" t="str">
        <x:v>Accueil</x:v>
      </x:c>
      <x:c r="B29" s="24" t="str">
        <x:v>G02_Toolbar</x:v>
      </x:c>
      <x:c r="C29" s="24" t="str">
        <x:v>Toolbar_Slicers_FieldParams</x:v>
      </x:c>
      <x:c r="D29" s="24" t="str">
        <x:v>G03_KPI_Row</x:v>
      </x:c>
      <x:c r="E29" s="24" t="str">
        <x:v>KPI_Card_05</x:v>
      </x:c>
      <x:c r="F29" s="25" t="n">
        <x:v>20</x:v>
      </x:c>
      <x:c r="G29" s="25" t="n">
        <x:v>260</x:v>
      </x:c>
      <x:c r="H29" s="25" t="n">
        <x:v>1500</x:v>
      </x:c>
      <x:c r="I29" s="25" t="n">
        <x:v>56</x:v>
      </x:c>
      <x:c r="J29" s="25" t="n">
        <x:f>F29+H29</x:f>
        <x:v>1520</x:v>
      </x:c>
      <x:c r="K29" s="25" t="n">
        <x:f>G29+I29</x:f>
        <x:v>316</x:v>
      </x:c>
      <x:c r="L29" s="25" t="n">
        <x:v>1232</x:v>
      </x:c>
      <x:c r="M29" s="25" t="n">
        <x:v>330</x:v>
      </x:c>
      <x:c r="N29" s="25" t="n">
        <x:v>287</x:v>
      </x:c>
      <x:c r="O29" s="25" t="n">
        <x:v>180</x:v>
      </x:c>
      <x:c r="P29" s="25" t="n">
        <x:f>L29+N29</x:f>
        <x:v>1519</x:v>
      </x:c>
      <x:c r="Q29" s="25" t="n">
        <x:f>M29+O29</x:f>
        <x:v>510</x:v>
      </x:c>
      <x:c r="R29" s="25" t="n">
        <x:f>MAX(0,MIN(J29,P29)-MAX(F29,L29))</x:f>
        <x:v>287</x:v>
      </x:c>
      <x:c r="S29" s="25" t="n">
        <x:f>MAX(0,MIN(K29,Q29)-MAX(G29,M29))</x:f>
        <x:v>0</x:v>
      </x:c>
      <x:c r="T29" s="25" t="n">
        <x:f>R29*S29</x:f>
        <x:v>0</x:v>
      </x:c>
      <x:c r="U29" s="24" t="str">
        <x:f>IF(T29&gt;0,"ERREUR chevauchement","OK aucun chevauchement")</x:f>
        <x:v>OK aucun chevauchement</x:v>
      </x:c>
      <x:c r="V29" s="24" t="str">
        <x:v>OK aucun chevauchement</x:v>
      </x:c>
      <x:c r="W29" s="24" t="str">
        <x:v>Si ERREUR : déplacer/redimensionner l’objet B ou créer un bookmark/masquage</x:v>
      </x:c>
    </x:row>
    <x:row r="30">
      <x:c r="A30" s="24" t="str">
        <x:v>Accueil</x:v>
      </x:c>
      <x:c r="B30" s="24" t="str">
        <x:v>G02_Toolbar</x:v>
      </x:c>
      <x:c r="C30" s="24" t="str">
        <x:v>Toolbar_Slicers_FieldParams</x:v>
      </x:c>
      <x:c r="D30" s="24" t="str">
        <x:v>G04_Gauges</x:v>
      </x:c>
      <x:c r="E30" s="24" t="str">
        <x:v>Gauge_Alertes_Row</x:v>
      </x:c>
      <x:c r="F30" s="25" t="n">
        <x:v>20</x:v>
      </x:c>
      <x:c r="G30" s="25" t="n">
        <x:v>260</x:v>
      </x:c>
      <x:c r="H30" s="25" t="n">
        <x:v>1500</x:v>
      </x:c>
      <x:c r="I30" s="25" t="n">
        <x:v>56</x:v>
      </x:c>
      <x:c r="J30" s="25" t="n">
        <x:f>F30+H30</x:f>
        <x:v>1520</x:v>
      </x:c>
      <x:c r="K30" s="25" t="n">
        <x:f>G30+I30</x:f>
        <x:v>316</x:v>
      </x:c>
      <x:c r="L30" s="25" t="n">
        <x:v>20</x:v>
      </x:c>
      <x:c r="M30" s="25" t="n">
        <x:v>530</x:v>
      </x:c>
      <x:c r="N30" s="25" t="n">
        <x:v>1500</x:v>
      </x:c>
      <x:c r="O30" s="25" t="n">
        <x:v>132</x:v>
      </x:c>
      <x:c r="P30" s="25" t="n">
        <x:f>L30+N30</x:f>
        <x:v>1520</x:v>
      </x:c>
      <x:c r="Q30" s="25" t="n">
        <x:f>M30+O30</x:f>
        <x:v>662</x:v>
      </x:c>
      <x:c r="R30" s="25" t="n">
        <x:f>MAX(0,MIN(J30,P30)-MAX(F30,L30))</x:f>
        <x:v>1500</x:v>
      </x:c>
      <x:c r="S30" s="25" t="n">
        <x:f>MAX(0,MIN(K30,Q30)-MAX(G30,M30))</x:f>
        <x:v>0</x:v>
      </x:c>
      <x:c r="T30" s="25" t="n">
        <x:f>R30*S30</x:f>
        <x:v>0</x:v>
      </x:c>
      <x:c r="U30" s="24" t="str">
        <x:f>IF(T30&gt;0,"ERREUR chevauchement","OK aucun chevauchement")</x:f>
        <x:v>OK aucun chevauchement</x:v>
      </x:c>
      <x:c r="V30" s="24" t="str">
        <x:v>OK aucun chevauchement</x:v>
      </x:c>
      <x:c r="W30" s="24" t="str">
        <x:v>Si ERREUR : déplacer/redimensionner l’objet B ou créer un bookmark/masquage</x:v>
      </x:c>
    </x:row>
    <x:row r="31">
      <x:c r="A31" s="24" t="str">
        <x:v>Accueil</x:v>
      </x:c>
      <x:c r="B31" s="24" t="str">
        <x:v>G02_Toolbar</x:v>
      </x:c>
      <x:c r="C31" s="24" t="str">
        <x:v>Toolbar_Slicers_FieldParams</x:v>
      </x:c>
      <x:c r="D31" s="24" t="str">
        <x:v>G05_Alertes_Reco</x:v>
      </x:c>
      <x:c r="E31" s="24" t="str">
        <x:v>Bloc_Alertes</x:v>
      </x:c>
      <x:c r="F31" s="25" t="n">
        <x:v>20</x:v>
      </x:c>
      <x:c r="G31" s="25" t="n">
        <x:v>260</x:v>
      </x:c>
      <x:c r="H31" s="25" t="n">
        <x:v>1500</x:v>
      </x:c>
      <x:c r="I31" s="25" t="n">
        <x:v>56</x:v>
      </x:c>
      <x:c r="J31" s="25" t="n">
        <x:f>F31+H31</x:f>
        <x:v>1520</x:v>
      </x:c>
      <x:c r="K31" s="25" t="n">
        <x:f>G31+I31</x:f>
        <x:v>316</x:v>
      </x:c>
      <x:c r="L31" s="25" t="n">
        <x:v>20</x:v>
      </x:c>
      <x:c r="M31" s="25" t="n">
        <x:v>682</x:v>
      </x:c>
      <x:c r="N31" s="25" t="n">
        <x:v>742</x:v>
      </x:c>
      <x:c r="O31" s="25" t="n">
        <x:v>280</x:v>
      </x:c>
      <x:c r="P31" s="25" t="n">
        <x:f>L31+N31</x:f>
        <x:v>762</x:v>
      </x:c>
      <x:c r="Q31" s="25" t="n">
        <x:f>M31+O31</x:f>
        <x:v>962</x:v>
      </x:c>
      <x:c r="R31" s="25" t="n">
        <x:f>MAX(0,MIN(J31,P31)-MAX(F31,L31))</x:f>
        <x:v>742</x:v>
      </x:c>
      <x:c r="S31" s="25" t="n">
        <x:f>MAX(0,MIN(K31,Q31)-MAX(G31,M31))</x:f>
        <x:v>0</x:v>
      </x:c>
      <x:c r="T31" s="25" t="n">
        <x:f>R31*S31</x:f>
        <x:v>0</x:v>
      </x:c>
      <x:c r="U31" s="24" t="str">
        <x:f>IF(T31&gt;0,"ERREUR chevauchement","OK aucun chevauchement")</x:f>
        <x:v>OK aucun chevauchement</x:v>
      </x:c>
      <x:c r="V31" s="24" t="str">
        <x:v>OK aucun chevauchement</x:v>
      </x:c>
      <x:c r="W31" s="24" t="str">
        <x:v>Si ERREUR : déplacer/redimensionner l’objet B ou créer un bookmark/masquage</x:v>
      </x:c>
    </x:row>
    <x:row r="32">
      <x:c r="A32" s="24" t="str">
        <x:v>Accueil</x:v>
      </x:c>
      <x:c r="B32" s="24" t="str">
        <x:v>G02_Toolbar</x:v>
      </x:c>
      <x:c r="C32" s="24" t="str">
        <x:v>Toolbar_Slicers_FieldParams</x:v>
      </x:c>
      <x:c r="D32" s="24" t="str">
        <x:v>G05_Alertes_Reco</x:v>
      </x:c>
      <x:c r="E32" s="24" t="str">
        <x:v>Bloc_Recommandation</x:v>
      </x:c>
      <x:c r="F32" s="25" t="n">
        <x:v>20</x:v>
      </x:c>
      <x:c r="G32" s="25" t="n">
        <x:v>260</x:v>
      </x:c>
      <x:c r="H32" s="25" t="n">
        <x:v>1500</x:v>
      </x:c>
      <x:c r="I32" s="25" t="n">
        <x:v>56</x:v>
      </x:c>
      <x:c r="J32" s="25" t="n">
        <x:f>F32+H32</x:f>
        <x:v>1520</x:v>
      </x:c>
      <x:c r="K32" s="25" t="n">
        <x:f>G32+I32</x:f>
        <x:v>316</x:v>
      </x:c>
      <x:c r="L32" s="25" t="n">
        <x:v>778</x:v>
      </x:c>
      <x:c r="M32" s="25" t="n">
        <x:v>682</x:v>
      </x:c>
      <x:c r="N32" s="25" t="n">
        <x:v>742</x:v>
      </x:c>
      <x:c r="O32" s="25" t="n">
        <x:v>280</x:v>
      </x:c>
      <x:c r="P32" s="25" t="n">
        <x:f>L32+N32</x:f>
        <x:v>1520</x:v>
      </x:c>
      <x:c r="Q32" s="25" t="n">
        <x:f>M32+O32</x:f>
        <x:v>962</x:v>
      </x:c>
      <x:c r="R32" s="25" t="n">
        <x:f>MAX(0,MIN(J32,P32)-MAX(F32,L32))</x:f>
        <x:v>742</x:v>
      </x:c>
      <x:c r="S32" s="25" t="n">
        <x:f>MAX(0,MIN(K32,Q32)-MAX(G32,M32))</x:f>
        <x:v>0</x:v>
      </x:c>
      <x:c r="T32" s="25" t="n">
        <x:f>R32*S32</x:f>
        <x:v>0</x:v>
      </x:c>
      <x:c r="U32" s="24" t="str">
        <x:f>IF(T32&gt;0,"ERREUR chevauchement","OK aucun chevauchement")</x:f>
        <x:v>OK aucun chevauchement</x:v>
      </x:c>
      <x:c r="V32" s="24" t="str">
        <x:v>OK aucun chevauchement</x:v>
      </x:c>
      <x:c r="W32" s="24" t="str">
        <x:v>Si ERREUR : déplacer/redimensionner l’objet B ou créer un bookmark/masquage</x:v>
      </x:c>
    </x:row>
    <x:row r="33">
      <x:c r="A33" s="24" t="str">
        <x:v>Accueil</x:v>
      </x:c>
      <x:c r="B33" s="24" t="str">
        <x:v>G02_Toolbar</x:v>
      </x:c>
      <x:c r="C33" s="24" t="str">
        <x:v>Toolbar_Slicers_FieldParams</x:v>
      </x:c>
      <x:c r="D33" s="24" t="str">
        <x:v>G06_Charts</x:v>
      </x:c>
      <x:c r="E33" s="24" t="str">
        <x:v>Line_Affaires</x:v>
      </x:c>
      <x:c r="F33" s="25" t="n">
        <x:v>20</x:v>
      </x:c>
      <x:c r="G33" s="25" t="n">
        <x:v>260</x:v>
      </x:c>
      <x:c r="H33" s="25" t="n">
        <x:v>1500</x:v>
      </x:c>
      <x:c r="I33" s="25" t="n">
        <x:v>56</x:v>
      </x:c>
      <x:c r="J33" s="25" t="n">
        <x:f>F33+H33</x:f>
        <x:v>1520</x:v>
      </x:c>
      <x:c r="K33" s="25" t="n">
        <x:f>G33+I33</x:f>
        <x:v>316</x:v>
      </x:c>
      <x:c r="L33" s="25" t="n">
        <x:v>20</x:v>
      </x:c>
      <x:c r="M33" s="25" t="n">
        <x:v>982</x:v>
      </x:c>
      <x:c r="N33" s="25" t="n">
        <x:v>742</x:v>
      </x:c>
      <x:c r="O33" s="25" t="n">
        <x:v>360</x:v>
      </x:c>
      <x:c r="P33" s="25" t="n">
        <x:f>L33+N33</x:f>
        <x:v>762</x:v>
      </x:c>
      <x:c r="Q33" s="25" t="n">
        <x:f>M33+O33</x:f>
        <x:v>1342</x:v>
      </x:c>
      <x:c r="R33" s="25" t="n">
        <x:f>MAX(0,MIN(J33,P33)-MAX(F33,L33))</x:f>
        <x:v>742</x:v>
      </x:c>
      <x:c r="S33" s="25" t="n">
        <x:f>MAX(0,MIN(K33,Q33)-MAX(G33,M33))</x:f>
        <x:v>0</x:v>
      </x:c>
      <x:c r="T33" s="25" t="n">
        <x:f>R33*S33</x:f>
        <x:v>0</x:v>
      </x:c>
      <x:c r="U33" s="24" t="str">
        <x:f>IF(T33&gt;0,"ERREUR chevauchement","OK aucun chevauchement")</x:f>
        <x:v>OK aucun chevauchement</x:v>
      </x:c>
      <x:c r="V33" s="24" t="str">
        <x:v>OK aucun chevauchement</x:v>
      </x:c>
      <x:c r="W33" s="24" t="str">
        <x:v>Si ERREUR : déplacer/redimensionner l’objet B ou créer un bookmark/masquage</x:v>
      </x:c>
    </x:row>
    <x:row r="34">
      <x:c r="A34" s="24" t="str">
        <x:v>Accueil</x:v>
      </x:c>
      <x:c r="B34" s="24" t="str">
        <x:v>G02_Toolbar</x:v>
      </x:c>
      <x:c r="C34" s="24" t="str">
        <x:v>Toolbar_Slicers_FieldParams</x:v>
      </x:c>
      <x:c r="D34" s="24" t="str">
        <x:v>G06_Charts</x:v>
      </x:c>
      <x:c r="E34" s="24" t="str">
        <x:v>Bar_Repartition</x:v>
      </x:c>
      <x:c r="F34" s="25" t="n">
        <x:v>20</x:v>
      </x:c>
      <x:c r="G34" s="25" t="n">
        <x:v>260</x:v>
      </x:c>
      <x:c r="H34" s="25" t="n">
        <x:v>1500</x:v>
      </x:c>
      <x:c r="I34" s="25" t="n">
        <x:v>56</x:v>
      </x:c>
      <x:c r="J34" s="25" t="n">
        <x:f>F34+H34</x:f>
        <x:v>1520</x:v>
      </x:c>
      <x:c r="K34" s="25" t="n">
        <x:f>G34+I34</x:f>
        <x:v>316</x:v>
      </x:c>
      <x:c r="L34" s="25" t="n">
        <x:v>778</x:v>
      </x:c>
      <x:c r="M34" s="25" t="n">
        <x:v>982</x:v>
      </x:c>
      <x:c r="N34" s="25" t="n">
        <x:v>742</x:v>
      </x:c>
      <x:c r="O34" s="25" t="n">
        <x:v>360</x:v>
      </x:c>
      <x:c r="P34" s="25" t="n">
        <x:f>L34+N34</x:f>
        <x:v>1520</x:v>
      </x:c>
      <x:c r="Q34" s="25" t="n">
        <x:f>M34+O34</x:f>
        <x:v>1342</x:v>
      </x:c>
      <x:c r="R34" s="25" t="n">
        <x:f>MAX(0,MIN(J34,P34)-MAX(F34,L34))</x:f>
        <x:v>742</x:v>
      </x:c>
      <x:c r="S34" s="25" t="n">
        <x:f>MAX(0,MIN(K34,Q34)-MAX(G34,M34))</x:f>
        <x:v>0</x:v>
      </x:c>
      <x:c r="T34" s="25" t="n">
        <x:f>R34*S34</x:f>
        <x:v>0</x:v>
      </x:c>
      <x:c r="U34" s="24" t="str">
        <x:f>IF(T34&gt;0,"ERREUR chevauchement","OK aucun chevauchement")</x:f>
        <x:v>OK aucun chevauchement</x:v>
      </x:c>
      <x:c r="V34" s="24" t="str">
        <x:v>OK aucun chevauchement</x:v>
      </x:c>
      <x:c r="W34" s="24" t="str">
        <x:v>Si ERREUR : déplacer/redimensionner l’objet B ou créer un bookmark/masquage</x:v>
      </x:c>
    </x:row>
    <x:row r="35">
      <x:c r="A35" s="24" t="str">
        <x:v>Accueil</x:v>
      </x:c>
      <x:c r="B35" s="24" t="str">
        <x:v>G03_KPI_Row</x:v>
      </x:c>
      <x:c r="C35" s="24" t="str">
        <x:v>KPI_Card_01</x:v>
      </x:c>
      <x:c r="D35" s="24" t="str">
        <x:v>G03_KPI_Row</x:v>
      </x:c>
      <x:c r="E35" s="24" t="str">
        <x:v>KPI_Card_02</x:v>
      </x:c>
      <x:c r="F35" s="25" t="n">
        <x:v>20</x:v>
      </x:c>
      <x:c r="G35" s="25" t="n">
        <x:v>330</x:v>
      </x:c>
      <x:c r="H35" s="25" t="n">
        <x:v>287</x:v>
      </x:c>
      <x:c r="I35" s="25" t="n">
        <x:v>180</x:v>
      </x:c>
      <x:c r="J35" s="25" t="n">
        <x:f>F35+H35</x:f>
        <x:v>307</x:v>
      </x:c>
      <x:c r="K35" s="25" t="n">
        <x:f>G35+I35</x:f>
        <x:v>510</x:v>
      </x:c>
      <x:c r="L35" s="25" t="n">
        <x:v>323</x:v>
      </x:c>
      <x:c r="M35" s="25" t="n">
        <x:v>330</x:v>
      </x:c>
      <x:c r="N35" s="25" t="n">
        <x:v>287</x:v>
      </x:c>
      <x:c r="O35" s="25" t="n">
        <x:v>180</x:v>
      </x:c>
      <x:c r="P35" s="25" t="n">
        <x:f>L35+N35</x:f>
        <x:v>610</x:v>
      </x:c>
      <x:c r="Q35" s="25" t="n">
        <x:f>M35+O35</x:f>
        <x:v>510</x:v>
      </x:c>
      <x:c r="R35" s="25" t="n">
        <x:f>MAX(0,MIN(J35,P35)-MAX(F35,L35))</x:f>
        <x:v>0</x:v>
      </x:c>
      <x:c r="S35" s="25" t="n">
        <x:f>MAX(0,MIN(K35,Q35)-MAX(G35,M35))</x:f>
        <x:v>180</x:v>
      </x:c>
      <x:c r="T35" s="25" t="n">
        <x:f>R35*S35</x:f>
        <x:v>0</x:v>
      </x:c>
      <x:c r="U35" s="24" t="str">
        <x:f>IF(T35&gt;0,"ERREUR chevauchement","OK aucun chevauchement")</x:f>
        <x:v>OK aucun chevauchement</x:v>
      </x:c>
      <x:c r="V35" s="24" t="str">
        <x:v>OK aucun chevauchement</x:v>
      </x:c>
      <x:c r="W35" s="24" t="str">
        <x:v>Si ERREUR : déplacer/redimensionner l’objet B ou créer un bookmark/masquage</x:v>
      </x:c>
    </x:row>
    <x:row r="36">
      <x:c r="A36" s="24" t="str">
        <x:v>Accueil</x:v>
      </x:c>
      <x:c r="B36" s="24" t="str">
        <x:v>G03_KPI_Row</x:v>
      </x:c>
      <x:c r="C36" s="24" t="str">
        <x:v>KPI_Card_01</x:v>
      </x:c>
      <x:c r="D36" s="24" t="str">
        <x:v>G03_KPI_Row</x:v>
      </x:c>
      <x:c r="E36" s="24" t="str">
        <x:v>KPI_Card_03</x:v>
      </x:c>
      <x:c r="F36" s="25" t="n">
        <x:v>20</x:v>
      </x:c>
      <x:c r="G36" s="25" t="n">
        <x:v>330</x:v>
      </x:c>
      <x:c r="H36" s="25" t="n">
        <x:v>287</x:v>
      </x:c>
      <x:c r="I36" s="25" t="n">
        <x:v>180</x:v>
      </x:c>
      <x:c r="J36" s="25" t="n">
        <x:f>F36+H36</x:f>
        <x:v>307</x:v>
      </x:c>
      <x:c r="K36" s="25" t="n">
        <x:f>G36+I36</x:f>
        <x:v>510</x:v>
      </x:c>
      <x:c r="L36" s="25" t="n">
        <x:v>626</x:v>
      </x:c>
      <x:c r="M36" s="25" t="n">
        <x:v>330</x:v>
      </x:c>
      <x:c r="N36" s="25" t="n">
        <x:v>287</x:v>
      </x:c>
      <x:c r="O36" s="25" t="n">
        <x:v>180</x:v>
      </x:c>
      <x:c r="P36" s="25" t="n">
        <x:f>L36+N36</x:f>
        <x:v>913</x:v>
      </x:c>
      <x:c r="Q36" s="25" t="n">
        <x:f>M36+O36</x:f>
        <x:v>510</x:v>
      </x:c>
      <x:c r="R36" s="25" t="n">
        <x:f>MAX(0,MIN(J36,P36)-MAX(F36,L36))</x:f>
        <x:v>0</x:v>
      </x:c>
      <x:c r="S36" s="25" t="n">
        <x:f>MAX(0,MIN(K36,Q36)-MAX(G36,M36))</x:f>
        <x:v>180</x:v>
      </x:c>
      <x:c r="T36" s="25" t="n">
        <x:f>R36*S36</x:f>
        <x:v>0</x:v>
      </x:c>
      <x:c r="U36" s="24" t="str">
        <x:f>IF(T36&gt;0,"ERREUR chevauchement","OK aucun chevauchement")</x:f>
        <x:v>OK aucun chevauchement</x:v>
      </x:c>
      <x:c r="V36" s="24" t="str">
        <x:v>OK aucun chevauchement</x:v>
      </x:c>
      <x:c r="W36" s="24" t="str">
        <x:v>Si ERREUR : déplacer/redimensionner l’objet B ou créer un bookmark/masquage</x:v>
      </x:c>
    </x:row>
    <x:row r="37">
      <x:c r="A37" s="24" t="str">
        <x:v>Accueil</x:v>
      </x:c>
      <x:c r="B37" s="24" t="str">
        <x:v>G03_KPI_Row</x:v>
      </x:c>
      <x:c r="C37" s="24" t="str">
        <x:v>KPI_Card_01</x:v>
      </x:c>
      <x:c r="D37" s="24" t="str">
        <x:v>G03_KPI_Row</x:v>
      </x:c>
      <x:c r="E37" s="24" t="str">
        <x:v>KPI_Card_04</x:v>
      </x:c>
      <x:c r="F37" s="25" t="n">
        <x:v>20</x:v>
      </x:c>
      <x:c r="G37" s="25" t="n">
        <x:v>330</x:v>
      </x:c>
      <x:c r="H37" s="25" t="n">
        <x:v>287</x:v>
      </x:c>
      <x:c r="I37" s="25" t="n">
        <x:v>180</x:v>
      </x:c>
      <x:c r="J37" s="25" t="n">
        <x:f>F37+H37</x:f>
        <x:v>307</x:v>
      </x:c>
      <x:c r="K37" s="25" t="n">
        <x:f>G37+I37</x:f>
        <x:v>510</x:v>
      </x:c>
      <x:c r="L37" s="25" t="n">
        <x:v>929</x:v>
      </x:c>
      <x:c r="M37" s="25" t="n">
        <x:v>330</x:v>
      </x:c>
      <x:c r="N37" s="25" t="n">
        <x:v>287</x:v>
      </x:c>
      <x:c r="O37" s="25" t="n">
        <x:v>180</x:v>
      </x:c>
      <x:c r="P37" s="25" t="n">
        <x:f>L37+N37</x:f>
        <x:v>1216</x:v>
      </x:c>
      <x:c r="Q37" s="25" t="n">
        <x:f>M37+O37</x:f>
        <x:v>510</x:v>
      </x:c>
      <x:c r="R37" s="25" t="n">
        <x:f>MAX(0,MIN(J37,P37)-MAX(F37,L37))</x:f>
        <x:v>0</x:v>
      </x:c>
      <x:c r="S37" s="25" t="n">
        <x:f>MAX(0,MIN(K37,Q37)-MAX(G37,M37))</x:f>
        <x:v>180</x:v>
      </x:c>
      <x:c r="T37" s="25" t="n">
        <x:f>R37*S37</x:f>
        <x:v>0</x:v>
      </x:c>
      <x:c r="U37" s="24" t="str">
        <x:f>IF(T37&gt;0,"ERREUR chevauchement","OK aucun chevauchement")</x:f>
        <x:v>OK aucun chevauchement</x:v>
      </x:c>
      <x:c r="V37" s="24" t="str">
        <x:v>OK aucun chevauchement</x:v>
      </x:c>
      <x:c r="W37" s="24" t="str">
        <x:v>Si ERREUR : déplacer/redimensionner l’objet B ou créer un bookmark/masquage</x:v>
      </x:c>
    </x:row>
    <x:row r="38">
      <x:c r="A38" s="24" t="str">
        <x:v>Accueil</x:v>
      </x:c>
      <x:c r="B38" s="24" t="str">
        <x:v>G03_KPI_Row</x:v>
      </x:c>
      <x:c r="C38" s="24" t="str">
        <x:v>KPI_Card_01</x:v>
      </x:c>
      <x:c r="D38" s="24" t="str">
        <x:v>G03_KPI_Row</x:v>
      </x:c>
      <x:c r="E38" s="24" t="str">
        <x:v>KPI_Card_05</x:v>
      </x:c>
      <x:c r="F38" s="25" t="n">
        <x:v>20</x:v>
      </x:c>
      <x:c r="G38" s="25" t="n">
        <x:v>330</x:v>
      </x:c>
      <x:c r="H38" s="25" t="n">
        <x:v>287</x:v>
      </x:c>
      <x:c r="I38" s="25" t="n">
        <x:v>180</x:v>
      </x:c>
      <x:c r="J38" s="25" t="n">
        <x:f>F38+H38</x:f>
        <x:v>307</x:v>
      </x:c>
      <x:c r="K38" s="25" t="n">
        <x:f>G38+I38</x:f>
        <x:v>510</x:v>
      </x:c>
      <x:c r="L38" s="25" t="n">
        <x:v>1232</x:v>
      </x:c>
      <x:c r="M38" s="25" t="n">
        <x:v>330</x:v>
      </x:c>
      <x:c r="N38" s="25" t="n">
        <x:v>287</x:v>
      </x:c>
      <x:c r="O38" s="25" t="n">
        <x:v>180</x:v>
      </x:c>
      <x:c r="P38" s="25" t="n">
        <x:f>L38+N38</x:f>
        <x:v>1519</x:v>
      </x:c>
      <x:c r="Q38" s="25" t="n">
        <x:f>M38+O38</x:f>
        <x:v>510</x:v>
      </x:c>
      <x:c r="R38" s="25" t="n">
        <x:f>MAX(0,MIN(J38,P38)-MAX(F38,L38))</x:f>
        <x:v>0</x:v>
      </x:c>
      <x:c r="S38" s="25" t="n">
        <x:f>MAX(0,MIN(K38,Q38)-MAX(G38,M38))</x:f>
        <x:v>180</x:v>
      </x:c>
      <x:c r="T38" s="25" t="n">
        <x:f>R38*S38</x:f>
        <x:v>0</x:v>
      </x:c>
      <x:c r="U38" s="24" t="str">
        <x:f>IF(T38&gt;0,"ERREUR chevauchement","OK aucun chevauchement")</x:f>
        <x:v>OK aucun chevauchement</x:v>
      </x:c>
      <x:c r="V38" s="24" t="str">
        <x:v>OK aucun chevauchement</x:v>
      </x:c>
      <x:c r="W38" s="24" t="str">
        <x:v>Si ERREUR : déplacer/redimensionner l’objet B ou créer un bookmark/masquage</x:v>
      </x:c>
    </x:row>
    <x:row r="39">
      <x:c r="A39" s="24" t="str">
        <x:v>Accueil</x:v>
      </x:c>
      <x:c r="B39" s="24" t="str">
        <x:v>G03_KPI_Row</x:v>
      </x:c>
      <x:c r="C39" s="24" t="str">
        <x:v>KPI_Card_01</x:v>
      </x:c>
      <x:c r="D39" s="24" t="str">
        <x:v>G04_Gauges</x:v>
      </x:c>
      <x:c r="E39" s="24" t="str">
        <x:v>Gauge_Alertes_Row</x:v>
      </x:c>
      <x:c r="F39" s="25" t="n">
        <x:v>20</x:v>
      </x:c>
      <x:c r="G39" s="25" t="n">
        <x:v>330</x:v>
      </x:c>
      <x:c r="H39" s="25" t="n">
        <x:v>287</x:v>
      </x:c>
      <x:c r="I39" s="25" t="n">
        <x:v>180</x:v>
      </x:c>
      <x:c r="J39" s="25" t="n">
        <x:f>F39+H39</x:f>
        <x:v>307</x:v>
      </x:c>
      <x:c r="K39" s="25" t="n">
        <x:f>G39+I39</x:f>
        <x:v>510</x:v>
      </x:c>
      <x:c r="L39" s="25" t="n">
        <x:v>20</x:v>
      </x:c>
      <x:c r="M39" s="25" t="n">
        <x:v>530</x:v>
      </x:c>
      <x:c r="N39" s="25" t="n">
        <x:v>1500</x:v>
      </x:c>
      <x:c r="O39" s="25" t="n">
        <x:v>132</x:v>
      </x:c>
      <x:c r="P39" s="25" t="n">
        <x:f>L39+N39</x:f>
        <x:v>1520</x:v>
      </x:c>
      <x:c r="Q39" s="25" t="n">
        <x:f>M39+O39</x:f>
        <x:v>662</x:v>
      </x:c>
      <x:c r="R39" s="25" t="n">
        <x:f>MAX(0,MIN(J39,P39)-MAX(F39,L39))</x:f>
        <x:v>287</x:v>
      </x:c>
      <x:c r="S39" s="25" t="n">
        <x:f>MAX(0,MIN(K39,Q39)-MAX(G39,M39))</x:f>
        <x:v>0</x:v>
      </x:c>
      <x:c r="T39" s="25" t="n">
        <x:f>R39*S39</x:f>
        <x:v>0</x:v>
      </x:c>
      <x:c r="U39" s="24" t="str">
        <x:f>IF(T39&gt;0,"ERREUR chevauchement","OK aucun chevauchement")</x:f>
        <x:v>OK aucun chevauchement</x:v>
      </x:c>
      <x:c r="V39" s="24" t="str">
        <x:v>OK aucun chevauchement</x:v>
      </x:c>
      <x:c r="W39" s="24" t="str">
        <x:v>Si ERREUR : déplacer/redimensionner l’objet B ou créer un bookmark/masquage</x:v>
      </x:c>
    </x:row>
    <x:row r="40">
      <x:c r="A40" s="24" t="str">
        <x:v>Accueil</x:v>
      </x:c>
      <x:c r="B40" s="24" t="str">
        <x:v>G03_KPI_Row</x:v>
      </x:c>
      <x:c r="C40" s="24" t="str">
        <x:v>KPI_Card_01</x:v>
      </x:c>
      <x:c r="D40" s="24" t="str">
        <x:v>G05_Alertes_Reco</x:v>
      </x:c>
      <x:c r="E40" s="24" t="str">
        <x:v>Bloc_Alertes</x:v>
      </x:c>
      <x:c r="F40" s="25" t="n">
        <x:v>20</x:v>
      </x:c>
      <x:c r="G40" s="25" t="n">
        <x:v>330</x:v>
      </x:c>
      <x:c r="H40" s="25" t="n">
        <x:v>287</x:v>
      </x:c>
      <x:c r="I40" s="25" t="n">
        <x:v>180</x:v>
      </x:c>
      <x:c r="J40" s="25" t="n">
        <x:f>F40+H40</x:f>
        <x:v>307</x:v>
      </x:c>
      <x:c r="K40" s="25" t="n">
        <x:f>G40+I40</x:f>
        <x:v>510</x:v>
      </x:c>
      <x:c r="L40" s="25" t="n">
        <x:v>20</x:v>
      </x:c>
      <x:c r="M40" s="25" t="n">
        <x:v>682</x:v>
      </x:c>
      <x:c r="N40" s="25" t="n">
        <x:v>742</x:v>
      </x:c>
      <x:c r="O40" s="25" t="n">
        <x:v>280</x:v>
      </x:c>
      <x:c r="P40" s="25" t="n">
        <x:f>L40+N40</x:f>
        <x:v>762</x:v>
      </x:c>
      <x:c r="Q40" s="25" t="n">
        <x:f>M40+O40</x:f>
        <x:v>962</x:v>
      </x:c>
      <x:c r="R40" s="25" t="n">
        <x:f>MAX(0,MIN(J40,P40)-MAX(F40,L40))</x:f>
        <x:v>287</x:v>
      </x:c>
      <x:c r="S40" s="25" t="n">
        <x:f>MAX(0,MIN(K40,Q40)-MAX(G40,M40))</x:f>
        <x:v>0</x:v>
      </x:c>
      <x:c r="T40" s="25" t="n">
        <x:f>R40*S40</x:f>
        <x:v>0</x:v>
      </x:c>
      <x:c r="U40" s="24" t="str">
        <x:f>IF(T40&gt;0,"ERREUR chevauchement","OK aucun chevauchement")</x:f>
        <x:v>OK aucun chevauchement</x:v>
      </x:c>
      <x:c r="V40" s="24" t="str">
        <x:v>OK aucun chevauchement</x:v>
      </x:c>
      <x:c r="W40" s="24" t="str">
        <x:v>Si ERREUR : déplacer/redimensionner l’objet B ou créer un bookmark/masquage</x:v>
      </x:c>
    </x:row>
    <x:row r="41">
      <x:c r="A41" s="24" t="str">
        <x:v>Accueil</x:v>
      </x:c>
      <x:c r="B41" s="24" t="str">
        <x:v>G03_KPI_Row</x:v>
      </x:c>
      <x:c r="C41" s="24" t="str">
        <x:v>KPI_Card_01</x:v>
      </x:c>
      <x:c r="D41" s="24" t="str">
        <x:v>G05_Alertes_Reco</x:v>
      </x:c>
      <x:c r="E41" s="24" t="str">
        <x:v>Bloc_Recommandation</x:v>
      </x:c>
      <x:c r="F41" s="25" t="n">
        <x:v>20</x:v>
      </x:c>
      <x:c r="G41" s="25" t="n">
        <x:v>330</x:v>
      </x:c>
      <x:c r="H41" s="25" t="n">
        <x:v>287</x:v>
      </x:c>
      <x:c r="I41" s="25" t="n">
        <x:v>180</x:v>
      </x:c>
      <x:c r="J41" s="25" t="n">
        <x:f>F41+H41</x:f>
        <x:v>307</x:v>
      </x:c>
      <x:c r="K41" s="25" t="n">
        <x:f>G41+I41</x:f>
        <x:v>510</x:v>
      </x:c>
      <x:c r="L41" s="25" t="n">
        <x:v>778</x:v>
      </x:c>
      <x:c r="M41" s="25" t="n">
        <x:v>682</x:v>
      </x:c>
      <x:c r="N41" s="25" t="n">
        <x:v>742</x:v>
      </x:c>
      <x:c r="O41" s="25" t="n">
        <x:v>280</x:v>
      </x:c>
      <x:c r="P41" s="25" t="n">
        <x:f>L41+N41</x:f>
        <x:v>1520</x:v>
      </x:c>
      <x:c r="Q41" s="25" t="n">
        <x:f>M41+O41</x:f>
        <x:v>962</x:v>
      </x:c>
      <x:c r="R41" s="25" t="n">
        <x:f>MAX(0,MIN(J41,P41)-MAX(F41,L41))</x:f>
        <x:v>0</x:v>
      </x:c>
      <x:c r="S41" s="25" t="n">
        <x:f>MAX(0,MIN(K41,Q41)-MAX(G41,M41))</x:f>
        <x:v>0</x:v>
      </x:c>
      <x:c r="T41" s="25" t="n">
        <x:f>R41*S41</x:f>
        <x:v>0</x:v>
      </x:c>
      <x:c r="U41" s="24" t="str">
        <x:f>IF(T41&gt;0,"ERREUR chevauchement","OK aucun chevauchement")</x:f>
        <x:v>OK aucun chevauchement</x:v>
      </x:c>
      <x:c r="V41" s="24" t="str">
        <x:v>OK aucun chevauchement</x:v>
      </x:c>
      <x:c r="W41" s="24" t="str">
        <x:v>Si ERREUR : déplacer/redimensionner l’objet B ou créer un bookmark/masquage</x:v>
      </x:c>
    </x:row>
    <x:row r="42">
      <x:c r="A42" s="24" t="str">
        <x:v>Accueil</x:v>
      </x:c>
      <x:c r="B42" s="24" t="str">
        <x:v>G03_KPI_Row</x:v>
      </x:c>
      <x:c r="C42" s="24" t="str">
        <x:v>KPI_Card_01</x:v>
      </x:c>
      <x:c r="D42" s="24" t="str">
        <x:v>G06_Charts</x:v>
      </x:c>
      <x:c r="E42" s="24" t="str">
        <x:v>Line_Affaires</x:v>
      </x:c>
      <x:c r="F42" s="25" t="n">
        <x:v>20</x:v>
      </x:c>
      <x:c r="G42" s="25" t="n">
        <x:v>330</x:v>
      </x:c>
      <x:c r="H42" s="25" t="n">
        <x:v>287</x:v>
      </x:c>
      <x:c r="I42" s="25" t="n">
        <x:v>180</x:v>
      </x:c>
      <x:c r="J42" s="25" t="n">
        <x:f>F42+H42</x:f>
        <x:v>307</x:v>
      </x:c>
      <x:c r="K42" s="25" t="n">
        <x:f>G42+I42</x:f>
        <x:v>510</x:v>
      </x:c>
      <x:c r="L42" s="25" t="n">
        <x:v>20</x:v>
      </x:c>
      <x:c r="M42" s="25" t="n">
        <x:v>982</x:v>
      </x:c>
      <x:c r="N42" s="25" t="n">
        <x:v>742</x:v>
      </x:c>
      <x:c r="O42" s="25" t="n">
        <x:v>360</x:v>
      </x:c>
      <x:c r="P42" s="25" t="n">
        <x:f>L42+N42</x:f>
        <x:v>762</x:v>
      </x:c>
      <x:c r="Q42" s="25" t="n">
        <x:f>M42+O42</x:f>
        <x:v>1342</x:v>
      </x:c>
      <x:c r="R42" s="25" t="n">
        <x:f>MAX(0,MIN(J42,P42)-MAX(F42,L42))</x:f>
        <x:v>287</x:v>
      </x:c>
      <x:c r="S42" s="25" t="n">
        <x:f>MAX(0,MIN(K42,Q42)-MAX(G42,M42))</x:f>
        <x:v>0</x:v>
      </x:c>
      <x:c r="T42" s="25" t="n">
        <x:f>R42*S42</x:f>
        <x:v>0</x:v>
      </x:c>
      <x:c r="U42" s="24" t="str">
        <x:f>IF(T42&gt;0,"ERREUR chevauchement","OK aucun chevauchement")</x:f>
        <x:v>OK aucun chevauchement</x:v>
      </x:c>
      <x:c r="V42" s="24" t="str">
        <x:v>OK aucun chevauchement</x:v>
      </x:c>
      <x:c r="W42" s="24" t="str">
        <x:v>Si ERREUR : déplacer/redimensionner l’objet B ou créer un bookmark/masquage</x:v>
      </x:c>
    </x:row>
    <x:row r="43">
      <x:c r="A43" s="24" t="str">
        <x:v>Accueil</x:v>
      </x:c>
      <x:c r="B43" s="24" t="str">
        <x:v>G03_KPI_Row</x:v>
      </x:c>
      <x:c r="C43" s="24" t="str">
        <x:v>KPI_Card_01</x:v>
      </x:c>
      <x:c r="D43" s="24" t="str">
        <x:v>G06_Charts</x:v>
      </x:c>
      <x:c r="E43" s="24" t="str">
        <x:v>Bar_Repartition</x:v>
      </x:c>
      <x:c r="F43" s="25" t="n">
        <x:v>20</x:v>
      </x:c>
      <x:c r="G43" s="25" t="n">
        <x:v>330</x:v>
      </x:c>
      <x:c r="H43" s="25" t="n">
        <x:v>287</x:v>
      </x:c>
      <x:c r="I43" s="25" t="n">
        <x:v>180</x:v>
      </x:c>
      <x:c r="J43" s="25" t="n">
        <x:f>F43+H43</x:f>
        <x:v>307</x:v>
      </x:c>
      <x:c r="K43" s="25" t="n">
        <x:f>G43+I43</x:f>
        <x:v>510</x:v>
      </x:c>
      <x:c r="L43" s="25" t="n">
        <x:v>778</x:v>
      </x:c>
      <x:c r="M43" s="25" t="n">
        <x:v>982</x:v>
      </x:c>
      <x:c r="N43" s="25" t="n">
        <x:v>742</x:v>
      </x:c>
      <x:c r="O43" s="25" t="n">
        <x:v>360</x:v>
      </x:c>
      <x:c r="P43" s="25" t="n">
        <x:f>L43+N43</x:f>
        <x:v>1520</x:v>
      </x:c>
      <x:c r="Q43" s="25" t="n">
        <x:f>M43+O43</x:f>
        <x:v>1342</x:v>
      </x:c>
      <x:c r="R43" s="25" t="n">
        <x:f>MAX(0,MIN(J43,P43)-MAX(F43,L43))</x:f>
        <x:v>0</x:v>
      </x:c>
      <x:c r="S43" s="25" t="n">
        <x:f>MAX(0,MIN(K43,Q43)-MAX(G43,M43))</x:f>
        <x:v>0</x:v>
      </x:c>
      <x:c r="T43" s="25" t="n">
        <x:f>R43*S43</x:f>
        <x:v>0</x:v>
      </x:c>
      <x:c r="U43" s="24" t="str">
        <x:f>IF(T43&gt;0,"ERREUR chevauchement","OK aucun chevauchement")</x:f>
        <x:v>OK aucun chevauchement</x:v>
      </x:c>
      <x:c r="V43" s="24" t="str">
        <x:v>OK aucun chevauchement</x:v>
      </x:c>
      <x:c r="W43" s="24" t="str">
        <x:v>Si ERREUR : déplacer/redimensionner l’objet B ou créer un bookmark/masquage</x:v>
      </x:c>
    </x:row>
    <x:row r="44">
      <x:c r="A44" s="24" t="str">
        <x:v>Accueil</x:v>
      </x:c>
      <x:c r="B44" s="24" t="str">
        <x:v>G03_KPI_Row</x:v>
      </x:c>
      <x:c r="C44" s="24" t="str">
        <x:v>KPI_Card_02</x:v>
      </x:c>
      <x:c r="D44" s="24" t="str">
        <x:v>G03_KPI_Row</x:v>
      </x:c>
      <x:c r="E44" s="24" t="str">
        <x:v>KPI_Card_03</x:v>
      </x:c>
      <x:c r="F44" s="25" t="n">
        <x:v>323</x:v>
      </x:c>
      <x:c r="G44" s="25" t="n">
        <x:v>330</x:v>
      </x:c>
      <x:c r="H44" s="25" t="n">
        <x:v>287</x:v>
      </x:c>
      <x:c r="I44" s="25" t="n">
        <x:v>180</x:v>
      </x:c>
      <x:c r="J44" s="25" t="n">
        <x:f>F44+H44</x:f>
        <x:v>610</x:v>
      </x:c>
      <x:c r="K44" s="25" t="n">
        <x:f>G44+I44</x:f>
        <x:v>510</x:v>
      </x:c>
      <x:c r="L44" s="25" t="n">
        <x:v>626</x:v>
      </x:c>
      <x:c r="M44" s="25" t="n">
        <x:v>330</x:v>
      </x:c>
      <x:c r="N44" s="25" t="n">
        <x:v>287</x:v>
      </x:c>
      <x:c r="O44" s="25" t="n">
        <x:v>180</x:v>
      </x:c>
      <x:c r="P44" s="25" t="n">
        <x:f>L44+N44</x:f>
        <x:v>913</x:v>
      </x:c>
      <x:c r="Q44" s="25" t="n">
        <x:f>M44+O44</x:f>
        <x:v>510</x:v>
      </x:c>
      <x:c r="R44" s="25" t="n">
        <x:f>MAX(0,MIN(J44,P44)-MAX(F44,L44))</x:f>
        <x:v>0</x:v>
      </x:c>
      <x:c r="S44" s="25" t="n">
        <x:f>MAX(0,MIN(K44,Q44)-MAX(G44,M44))</x:f>
        <x:v>180</x:v>
      </x:c>
      <x:c r="T44" s="25" t="n">
        <x:f>R44*S44</x:f>
        <x:v>0</x:v>
      </x:c>
      <x:c r="U44" s="24" t="str">
        <x:f>IF(T44&gt;0,"ERREUR chevauchement","OK aucun chevauchement")</x:f>
        <x:v>OK aucun chevauchement</x:v>
      </x:c>
      <x:c r="V44" s="24" t="str">
        <x:v>OK aucun chevauchement</x:v>
      </x:c>
      <x:c r="W44" s="24" t="str">
        <x:v>Si ERREUR : déplacer/redimensionner l’objet B ou créer un bookmark/masquage</x:v>
      </x:c>
    </x:row>
    <x:row r="45">
      <x:c r="A45" s="24" t="str">
        <x:v>Accueil</x:v>
      </x:c>
      <x:c r="B45" s="24" t="str">
        <x:v>G03_KPI_Row</x:v>
      </x:c>
      <x:c r="C45" s="24" t="str">
        <x:v>KPI_Card_02</x:v>
      </x:c>
      <x:c r="D45" s="24" t="str">
        <x:v>G03_KPI_Row</x:v>
      </x:c>
      <x:c r="E45" s="24" t="str">
        <x:v>KPI_Card_04</x:v>
      </x:c>
      <x:c r="F45" s="25" t="n">
        <x:v>323</x:v>
      </x:c>
      <x:c r="G45" s="25" t="n">
        <x:v>330</x:v>
      </x:c>
      <x:c r="H45" s="25" t="n">
        <x:v>287</x:v>
      </x:c>
      <x:c r="I45" s="25" t="n">
        <x:v>180</x:v>
      </x:c>
      <x:c r="J45" s="25" t="n">
        <x:f>F45+H45</x:f>
        <x:v>610</x:v>
      </x:c>
      <x:c r="K45" s="25" t="n">
        <x:f>G45+I45</x:f>
        <x:v>510</x:v>
      </x:c>
      <x:c r="L45" s="25" t="n">
        <x:v>929</x:v>
      </x:c>
      <x:c r="M45" s="25" t="n">
        <x:v>330</x:v>
      </x:c>
      <x:c r="N45" s="25" t="n">
        <x:v>287</x:v>
      </x:c>
      <x:c r="O45" s="25" t="n">
        <x:v>180</x:v>
      </x:c>
      <x:c r="P45" s="25" t="n">
        <x:f>L45+N45</x:f>
        <x:v>1216</x:v>
      </x:c>
      <x:c r="Q45" s="25" t="n">
        <x:f>M45+O45</x:f>
        <x:v>510</x:v>
      </x:c>
      <x:c r="R45" s="25" t="n">
        <x:f>MAX(0,MIN(J45,P45)-MAX(F45,L45))</x:f>
        <x:v>0</x:v>
      </x:c>
      <x:c r="S45" s="25" t="n">
        <x:f>MAX(0,MIN(K45,Q45)-MAX(G45,M45))</x:f>
        <x:v>180</x:v>
      </x:c>
      <x:c r="T45" s="25" t="n">
        <x:f>R45*S45</x:f>
        <x:v>0</x:v>
      </x:c>
      <x:c r="U45" s="24" t="str">
        <x:f>IF(T45&gt;0,"ERREUR chevauchement","OK aucun chevauchement")</x:f>
        <x:v>OK aucun chevauchement</x:v>
      </x:c>
      <x:c r="V45" s="24" t="str">
        <x:v>OK aucun chevauchement</x:v>
      </x:c>
      <x:c r="W45" s="24" t="str">
        <x:v>Si ERREUR : déplacer/redimensionner l’objet B ou créer un bookmark/masquage</x:v>
      </x:c>
    </x:row>
    <x:row r="46">
      <x:c r="A46" s="24" t="str">
        <x:v>Accueil</x:v>
      </x:c>
      <x:c r="B46" s="24" t="str">
        <x:v>G03_KPI_Row</x:v>
      </x:c>
      <x:c r="C46" s="24" t="str">
        <x:v>KPI_Card_02</x:v>
      </x:c>
      <x:c r="D46" s="24" t="str">
        <x:v>G03_KPI_Row</x:v>
      </x:c>
      <x:c r="E46" s="24" t="str">
        <x:v>KPI_Card_05</x:v>
      </x:c>
      <x:c r="F46" s="25" t="n">
        <x:v>323</x:v>
      </x:c>
      <x:c r="G46" s="25" t="n">
        <x:v>330</x:v>
      </x:c>
      <x:c r="H46" s="25" t="n">
        <x:v>287</x:v>
      </x:c>
      <x:c r="I46" s="25" t="n">
        <x:v>180</x:v>
      </x:c>
      <x:c r="J46" s="25" t="n">
        <x:f>F46+H46</x:f>
        <x:v>610</x:v>
      </x:c>
      <x:c r="K46" s="25" t="n">
        <x:f>G46+I46</x:f>
        <x:v>510</x:v>
      </x:c>
      <x:c r="L46" s="25" t="n">
        <x:v>1232</x:v>
      </x:c>
      <x:c r="M46" s="25" t="n">
        <x:v>330</x:v>
      </x:c>
      <x:c r="N46" s="25" t="n">
        <x:v>287</x:v>
      </x:c>
      <x:c r="O46" s="25" t="n">
        <x:v>180</x:v>
      </x:c>
      <x:c r="P46" s="25" t="n">
        <x:f>L46+N46</x:f>
        <x:v>1519</x:v>
      </x:c>
      <x:c r="Q46" s="25" t="n">
        <x:f>M46+O46</x:f>
        <x:v>510</x:v>
      </x:c>
      <x:c r="R46" s="25" t="n">
        <x:f>MAX(0,MIN(J46,P46)-MAX(F46,L46))</x:f>
        <x:v>0</x:v>
      </x:c>
      <x:c r="S46" s="25" t="n">
        <x:f>MAX(0,MIN(K46,Q46)-MAX(G46,M46))</x:f>
        <x:v>180</x:v>
      </x:c>
      <x:c r="T46" s="25" t="n">
        <x:f>R46*S46</x:f>
        <x:v>0</x:v>
      </x:c>
      <x:c r="U46" s="24" t="str">
        <x:f>IF(T46&gt;0,"ERREUR chevauchement","OK aucun chevauchement")</x:f>
        <x:v>OK aucun chevauchement</x:v>
      </x:c>
      <x:c r="V46" s="24" t="str">
        <x:v>OK aucun chevauchement</x:v>
      </x:c>
      <x:c r="W46" s="24" t="str">
        <x:v>Si ERREUR : déplacer/redimensionner l’objet B ou créer un bookmark/masquage</x:v>
      </x:c>
    </x:row>
    <x:row r="47">
      <x:c r="A47" s="24" t="str">
        <x:v>Accueil</x:v>
      </x:c>
      <x:c r="B47" s="24" t="str">
        <x:v>G03_KPI_Row</x:v>
      </x:c>
      <x:c r="C47" s="24" t="str">
        <x:v>KPI_Card_02</x:v>
      </x:c>
      <x:c r="D47" s="24" t="str">
        <x:v>G04_Gauges</x:v>
      </x:c>
      <x:c r="E47" s="24" t="str">
        <x:v>Gauge_Alertes_Row</x:v>
      </x:c>
      <x:c r="F47" s="25" t="n">
        <x:v>323</x:v>
      </x:c>
      <x:c r="G47" s="25" t="n">
        <x:v>330</x:v>
      </x:c>
      <x:c r="H47" s="25" t="n">
        <x:v>287</x:v>
      </x:c>
      <x:c r="I47" s="25" t="n">
        <x:v>180</x:v>
      </x:c>
      <x:c r="J47" s="25" t="n">
        <x:f>F47+H47</x:f>
        <x:v>610</x:v>
      </x:c>
      <x:c r="K47" s="25" t="n">
        <x:f>G47+I47</x:f>
        <x:v>510</x:v>
      </x:c>
      <x:c r="L47" s="25" t="n">
        <x:v>20</x:v>
      </x:c>
      <x:c r="M47" s="25" t="n">
        <x:v>530</x:v>
      </x:c>
      <x:c r="N47" s="25" t="n">
        <x:v>1500</x:v>
      </x:c>
      <x:c r="O47" s="25" t="n">
        <x:v>132</x:v>
      </x:c>
      <x:c r="P47" s="25" t="n">
        <x:f>L47+N47</x:f>
        <x:v>1520</x:v>
      </x:c>
      <x:c r="Q47" s="25" t="n">
        <x:f>M47+O47</x:f>
        <x:v>662</x:v>
      </x:c>
      <x:c r="R47" s="25" t="n">
        <x:f>MAX(0,MIN(J47,P47)-MAX(F47,L47))</x:f>
        <x:v>287</x:v>
      </x:c>
      <x:c r="S47" s="25" t="n">
        <x:f>MAX(0,MIN(K47,Q47)-MAX(G47,M47))</x:f>
        <x:v>0</x:v>
      </x:c>
      <x:c r="T47" s="25" t="n">
        <x:f>R47*S47</x:f>
        <x:v>0</x:v>
      </x:c>
      <x:c r="U47" s="24" t="str">
        <x:f>IF(T47&gt;0,"ERREUR chevauchement","OK aucun chevauchement")</x:f>
        <x:v>OK aucun chevauchement</x:v>
      </x:c>
      <x:c r="V47" s="24" t="str">
        <x:v>OK aucun chevauchement</x:v>
      </x:c>
      <x:c r="W47" s="24" t="str">
        <x:v>Si ERREUR : déplacer/redimensionner l’objet B ou créer un bookmark/masquage</x:v>
      </x:c>
    </x:row>
    <x:row r="48">
      <x:c r="A48" s="24" t="str">
        <x:v>Accueil</x:v>
      </x:c>
      <x:c r="B48" s="24" t="str">
        <x:v>G03_KPI_Row</x:v>
      </x:c>
      <x:c r="C48" s="24" t="str">
        <x:v>KPI_Card_02</x:v>
      </x:c>
      <x:c r="D48" s="24" t="str">
        <x:v>G05_Alertes_Reco</x:v>
      </x:c>
      <x:c r="E48" s="24" t="str">
        <x:v>Bloc_Alertes</x:v>
      </x:c>
      <x:c r="F48" s="25" t="n">
        <x:v>323</x:v>
      </x:c>
      <x:c r="G48" s="25" t="n">
        <x:v>330</x:v>
      </x:c>
      <x:c r="H48" s="25" t="n">
        <x:v>287</x:v>
      </x:c>
      <x:c r="I48" s="25" t="n">
        <x:v>180</x:v>
      </x:c>
      <x:c r="J48" s="25" t="n">
        <x:f>F48+H48</x:f>
        <x:v>610</x:v>
      </x:c>
      <x:c r="K48" s="25" t="n">
        <x:f>G48+I48</x:f>
        <x:v>510</x:v>
      </x:c>
      <x:c r="L48" s="25" t="n">
        <x:v>20</x:v>
      </x:c>
      <x:c r="M48" s="25" t="n">
        <x:v>682</x:v>
      </x:c>
      <x:c r="N48" s="25" t="n">
        <x:v>742</x:v>
      </x:c>
      <x:c r="O48" s="25" t="n">
        <x:v>280</x:v>
      </x:c>
      <x:c r="P48" s="25" t="n">
        <x:f>L48+N48</x:f>
        <x:v>762</x:v>
      </x:c>
      <x:c r="Q48" s="25" t="n">
        <x:f>M48+O48</x:f>
        <x:v>962</x:v>
      </x:c>
      <x:c r="R48" s="25" t="n">
        <x:f>MAX(0,MIN(J48,P48)-MAX(F48,L48))</x:f>
        <x:v>287</x:v>
      </x:c>
      <x:c r="S48" s="25" t="n">
        <x:f>MAX(0,MIN(K48,Q48)-MAX(G48,M48))</x:f>
        <x:v>0</x:v>
      </x:c>
      <x:c r="T48" s="25" t="n">
        <x:f>R48*S48</x:f>
        <x:v>0</x:v>
      </x:c>
      <x:c r="U48" s="24" t="str">
        <x:f>IF(T48&gt;0,"ERREUR chevauchement","OK aucun chevauchement")</x:f>
        <x:v>OK aucun chevauchement</x:v>
      </x:c>
      <x:c r="V48" s="24" t="str">
        <x:v>OK aucun chevauchement</x:v>
      </x:c>
      <x:c r="W48" s="24" t="str">
        <x:v>Si ERREUR : déplacer/redimensionner l’objet B ou créer un bookmark/masquage</x:v>
      </x:c>
    </x:row>
    <x:row r="49">
      <x:c r="A49" s="24" t="str">
        <x:v>Accueil</x:v>
      </x:c>
      <x:c r="B49" s="24" t="str">
        <x:v>G03_KPI_Row</x:v>
      </x:c>
      <x:c r="C49" s="24" t="str">
        <x:v>KPI_Card_02</x:v>
      </x:c>
      <x:c r="D49" s="24" t="str">
        <x:v>G05_Alertes_Reco</x:v>
      </x:c>
      <x:c r="E49" s="24" t="str">
        <x:v>Bloc_Recommandation</x:v>
      </x:c>
      <x:c r="F49" s="25" t="n">
        <x:v>323</x:v>
      </x:c>
      <x:c r="G49" s="25" t="n">
        <x:v>330</x:v>
      </x:c>
      <x:c r="H49" s="25" t="n">
        <x:v>287</x:v>
      </x:c>
      <x:c r="I49" s="25" t="n">
        <x:v>180</x:v>
      </x:c>
      <x:c r="J49" s="25" t="n">
        <x:f>F49+H49</x:f>
        <x:v>610</x:v>
      </x:c>
      <x:c r="K49" s="25" t="n">
        <x:f>G49+I49</x:f>
        <x:v>510</x:v>
      </x:c>
      <x:c r="L49" s="25" t="n">
        <x:v>778</x:v>
      </x:c>
      <x:c r="M49" s="25" t="n">
        <x:v>682</x:v>
      </x:c>
      <x:c r="N49" s="25" t="n">
        <x:v>742</x:v>
      </x:c>
      <x:c r="O49" s="25" t="n">
        <x:v>280</x:v>
      </x:c>
      <x:c r="P49" s="25" t="n">
        <x:f>L49+N49</x:f>
        <x:v>1520</x:v>
      </x:c>
      <x:c r="Q49" s="25" t="n">
        <x:f>M49+O49</x:f>
        <x:v>962</x:v>
      </x:c>
      <x:c r="R49" s="25" t="n">
        <x:f>MAX(0,MIN(J49,P49)-MAX(F49,L49))</x:f>
        <x:v>0</x:v>
      </x:c>
      <x:c r="S49" s="25" t="n">
        <x:f>MAX(0,MIN(K49,Q49)-MAX(G49,M49))</x:f>
        <x:v>0</x:v>
      </x:c>
      <x:c r="T49" s="25" t="n">
        <x:f>R49*S49</x:f>
        <x:v>0</x:v>
      </x:c>
      <x:c r="U49" s="24" t="str">
        <x:f>IF(T49&gt;0,"ERREUR chevauchement","OK aucun chevauchement")</x:f>
        <x:v>OK aucun chevauchement</x:v>
      </x:c>
      <x:c r="V49" s="24" t="str">
        <x:v>OK aucun chevauchement</x:v>
      </x:c>
      <x:c r="W49" s="24" t="str">
        <x:v>Si ERREUR : déplacer/redimensionner l’objet B ou créer un bookmark/masquage</x:v>
      </x:c>
    </x:row>
    <x:row r="50">
      <x:c r="A50" s="24" t="str">
        <x:v>Accueil</x:v>
      </x:c>
      <x:c r="B50" s="24" t="str">
        <x:v>G03_KPI_Row</x:v>
      </x:c>
      <x:c r="C50" s="24" t="str">
        <x:v>KPI_Card_02</x:v>
      </x:c>
      <x:c r="D50" s="24" t="str">
        <x:v>G06_Charts</x:v>
      </x:c>
      <x:c r="E50" s="24" t="str">
        <x:v>Line_Affaires</x:v>
      </x:c>
      <x:c r="F50" s="25" t="n">
        <x:v>323</x:v>
      </x:c>
      <x:c r="G50" s="25" t="n">
        <x:v>330</x:v>
      </x:c>
      <x:c r="H50" s="25" t="n">
        <x:v>287</x:v>
      </x:c>
      <x:c r="I50" s="25" t="n">
        <x:v>180</x:v>
      </x:c>
      <x:c r="J50" s="25" t="n">
        <x:f>F50+H50</x:f>
        <x:v>610</x:v>
      </x:c>
      <x:c r="K50" s="25" t="n">
        <x:f>G50+I50</x:f>
        <x:v>510</x:v>
      </x:c>
      <x:c r="L50" s="25" t="n">
        <x:v>20</x:v>
      </x:c>
      <x:c r="M50" s="25" t="n">
        <x:v>982</x:v>
      </x:c>
      <x:c r="N50" s="25" t="n">
        <x:v>742</x:v>
      </x:c>
      <x:c r="O50" s="25" t="n">
        <x:v>360</x:v>
      </x:c>
      <x:c r="P50" s="25" t="n">
        <x:f>L50+N50</x:f>
        <x:v>762</x:v>
      </x:c>
      <x:c r="Q50" s="25" t="n">
        <x:f>M50+O50</x:f>
        <x:v>1342</x:v>
      </x:c>
      <x:c r="R50" s="25" t="n">
        <x:f>MAX(0,MIN(J50,P50)-MAX(F50,L50))</x:f>
        <x:v>287</x:v>
      </x:c>
      <x:c r="S50" s="25" t="n">
        <x:f>MAX(0,MIN(K50,Q50)-MAX(G50,M50))</x:f>
        <x:v>0</x:v>
      </x:c>
      <x:c r="T50" s="25" t="n">
        <x:f>R50*S50</x:f>
        <x:v>0</x:v>
      </x:c>
      <x:c r="U50" s="24" t="str">
        <x:f>IF(T50&gt;0,"ERREUR chevauchement","OK aucun chevauchement")</x:f>
        <x:v>OK aucun chevauchement</x:v>
      </x:c>
      <x:c r="V50" s="24" t="str">
        <x:v>OK aucun chevauchement</x:v>
      </x:c>
      <x:c r="W50" s="24" t="str">
        <x:v>Si ERREUR : déplacer/redimensionner l’objet B ou créer un bookmark/masquage</x:v>
      </x:c>
    </x:row>
    <x:row r="51">
      <x:c r="A51" s="24" t="str">
        <x:v>Accueil</x:v>
      </x:c>
      <x:c r="B51" s="24" t="str">
        <x:v>G03_KPI_Row</x:v>
      </x:c>
      <x:c r="C51" s="24" t="str">
        <x:v>KPI_Card_02</x:v>
      </x:c>
      <x:c r="D51" s="24" t="str">
        <x:v>G06_Charts</x:v>
      </x:c>
      <x:c r="E51" s="24" t="str">
        <x:v>Bar_Repartition</x:v>
      </x:c>
      <x:c r="F51" s="25" t="n">
        <x:v>323</x:v>
      </x:c>
      <x:c r="G51" s="25" t="n">
        <x:v>330</x:v>
      </x:c>
      <x:c r="H51" s="25" t="n">
        <x:v>287</x:v>
      </x:c>
      <x:c r="I51" s="25" t="n">
        <x:v>180</x:v>
      </x:c>
      <x:c r="J51" s="25" t="n">
        <x:f>F51+H51</x:f>
        <x:v>610</x:v>
      </x:c>
      <x:c r="K51" s="25" t="n">
        <x:f>G51+I51</x:f>
        <x:v>510</x:v>
      </x:c>
      <x:c r="L51" s="25" t="n">
        <x:v>778</x:v>
      </x:c>
      <x:c r="M51" s="25" t="n">
        <x:v>982</x:v>
      </x:c>
      <x:c r="N51" s="25" t="n">
        <x:v>742</x:v>
      </x:c>
      <x:c r="O51" s="25" t="n">
        <x:v>360</x:v>
      </x:c>
      <x:c r="P51" s="25" t="n">
        <x:f>L51+N51</x:f>
        <x:v>1520</x:v>
      </x:c>
      <x:c r="Q51" s="25" t="n">
        <x:f>M51+O51</x:f>
        <x:v>1342</x:v>
      </x:c>
      <x:c r="R51" s="25" t="n">
        <x:f>MAX(0,MIN(J51,P51)-MAX(F51,L51))</x:f>
        <x:v>0</x:v>
      </x:c>
      <x:c r="S51" s="25" t="n">
        <x:f>MAX(0,MIN(K51,Q51)-MAX(G51,M51))</x:f>
        <x:v>0</x:v>
      </x:c>
      <x:c r="T51" s="25" t="n">
        <x:f>R51*S51</x:f>
        <x:v>0</x:v>
      </x:c>
      <x:c r="U51" s="24" t="str">
        <x:f>IF(T51&gt;0,"ERREUR chevauchement","OK aucun chevauchement")</x:f>
        <x:v>OK aucun chevauchement</x:v>
      </x:c>
      <x:c r="V51" s="24" t="str">
        <x:v>OK aucun chevauchement</x:v>
      </x:c>
      <x:c r="W51" s="24" t="str">
        <x:v>Si ERREUR : déplacer/redimensionner l’objet B ou créer un bookmark/masquage</x:v>
      </x:c>
    </x:row>
    <x:row r="52">
      <x:c r="A52" s="24" t="str">
        <x:v>Accueil</x:v>
      </x:c>
      <x:c r="B52" s="24" t="str">
        <x:v>G03_KPI_Row</x:v>
      </x:c>
      <x:c r="C52" s="24" t="str">
        <x:v>KPI_Card_03</x:v>
      </x:c>
      <x:c r="D52" s="24" t="str">
        <x:v>G03_KPI_Row</x:v>
      </x:c>
      <x:c r="E52" s="24" t="str">
        <x:v>KPI_Card_04</x:v>
      </x:c>
      <x:c r="F52" s="25" t="n">
        <x:v>626</x:v>
      </x:c>
      <x:c r="G52" s="25" t="n">
        <x:v>330</x:v>
      </x:c>
      <x:c r="H52" s="25" t="n">
        <x:v>287</x:v>
      </x:c>
      <x:c r="I52" s="25" t="n">
        <x:v>180</x:v>
      </x:c>
      <x:c r="J52" s="25" t="n">
        <x:f>F52+H52</x:f>
        <x:v>913</x:v>
      </x:c>
      <x:c r="K52" s="25" t="n">
        <x:f>G52+I52</x:f>
        <x:v>510</x:v>
      </x:c>
      <x:c r="L52" s="25" t="n">
        <x:v>929</x:v>
      </x:c>
      <x:c r="M52" s="25" t="n">
        <x:v>330</x:v>
      </x:c>
      <x:c r="N52" s="25" t="n">
        <x:v>287</x:v>
      </x:c>
      <x:c r="O52" s="25" t="n">
        <x:v>180</x:v>
      </x:c>
      <x:c r="P52" s="25" t="n">
        <x:f>L52+N52</x:f>
        <x:v>1216</x:v>
      </x:c>
      <x:c r="Q52" s="25" t="n">
        <x:f>M52+O52</x:f>
        <x:v>510</x:v>
      </x:c>
      <x:c r="R52" s="25" t="n">
        <x:f>MAX(0,MIN(J52,P52)-MAX(F52,L52))</x:f>
        <x:v>0</x:v>
      </x:c>
      <x:c r="S52" s="25" t="n">
        <x:f>MAX(0,MIN(K52,Q52)-MAX(G52,M52))</x:f>
        <x:v>180</x:v>
      </x:c>
      <x:c r="T52" s="25" t="n">
        <x:f>R52*S52</x:f>
        <x:v>0</x:v>
      </x:c>
      <x:c r="U52" s="24" t="str">
        <x:f>IF(T52&gt;0,"ERREUR chevauchement","OK aucun chevauchement")</x:f>
        <x:v>OK aucun chevauchement</x:v>
      </x:c>
      <x:c r="V52" s="24" t="str">
        <x:v>OK aucun chevauchement</x:v>
      </x:c>
      <x:c r="W52" s="24" t="str">
        <x:v>Si ERREUR : déplacer/redimensionner l’objet B ou créer un bookmark/masquage</x:v>
      </x:c>
    </x:row>
    <x:row r="53">
      <x:c r="A53" s="24" t="str">
        <x:v>Accueil</x:v>
      </x:c>
      <x:c r="B53" s="24" t="str">
        <x:v>G03_KPI_Row</x:v>
      </x:c>
      <x:c r="C53" s="24" t="str">
        <x:v>KPI_Card_03</x:v>
      </x:c>
      <x:c r="D53" s="24" t="str">
        <x:v>G03_KPI_Row</x:v>
      </x:c>
      <x:c r="E53" s="24" t="str">
        <x:v>KPI_Card_05</x:v>
      </x:c>
      <x:c r="F53" s="25" t="n">
        <x:v>626</x:v>
      </x:c>
      <x:c r="G53" s="25" t="n">
        <x:v>330</x:v>
      </x:c>
      <x:c r="H53" s="25" t="n">
        <x:v>287</x:v>
      </x:c>
      <x:c r="I53" s="25" t="n">
        <x:v>180</x:v>
      </x:c>
      <x:c r="J53" s="25" t="n">
        <x:f>F53+H53</x:f>
        <x:v>913</x:v>
      </x:c>
      <x:c r="K53" s="25" t="n">
        <x:f>G53+I53</x:f>
        <x:v>510</x:v>
      </x:c>
      <x:c r="L53" s="25" t="n">
        <x:v>1232</x:v>
      </x:c>
      <x:c r="M53" s="25" t="n">
        <x:v>330</x:v>
      </x:c>
      <x:c r="N53" s="25" t="n">
        <x:v>287</x:v>
      </x:c>
      <x:c r="O53" s="25" t="n">
        <x:v>180</x:v>
      </x:c>
      <x:c r="P53" s="25" t="n">
        <x:f>L53+N53</x:f>
        <x:v>1519</x:v>
      </x:c>
      <x:c r="Q53" s="25" t="n">
        <x:f>M53+O53</x:f>
        <x:v>510</x:v>
      </x:c>
      <x:c r="R53" s="25" t="n">
        <x:f>MAX(0,MIN(J53,P53)-MAX(F53,L53))</x:f>
        <x:v>0</x:v>
      </x:c>
      <x:c r="S53" s="25" t="n">
        <x:f>MAX(0,MIN(K53,Q53)-MAX(G53,M53))</x:f>
        <x:v>180</x:v>
      </x:c>
      <x:c r="T53" s="25" t="n">
        <x:f>R53*S53</x:f>
        <x:v>0</x:v>
      </x:c>
      <x:c r="U53" s="24" t="str">
        <x:f>IF(T53&gt;0,"ERREUR chevauchement","OK aucun chevauchement")</x:f>
        <x:v>OK aucun chevauchement</x:v>
      </x:c>
      <x:c r="V53" s="24" t="str">
        <x:v>OK aucun chevauchement</x:v>
      </x:c>
      <x:c r="W53" s="24" t="str">
        <x:v>Si ERREUR : déplacer/redimensionner l’objet B ou créer un bookmark/masquage</x:v>
      </x:c>
    </x:row>
    <x:row r="54">
      <x:c r="A54" s="24" t="str">
        <x:v>Accueil</x:v>
      </x:c>
      <x:c r="B54" s="24" t="str">
        <x:v>G03_KPI_Row</x:v>
      </x:c>
      <x:c r="C54" s="24" t="str">
        <x:v>KPI_Card_03</x:v>
      </x:c>
      <x:c r="D54" s="24" t="str">
        <x:v>G04_Gauges</x:v>
      </x:c>
      <x:c r="E54" s="24" t="str">
        <x:v>Gauge_Alertes_Row</x:v>
      </x:c>
      <x:c r="F54" s="25" t="n">
        <x:v>626</x:v>
      </x:c>
      <x:c r="G54" s="25" t="n">
        <x:v>330</x:v>
      </x:c>
      <x:c r="H54" s="25" t="n">
        <x:v>287</x:v>
      </x:c>
      <x:c r="I54" s="25" t="n">
        <x:v>180</x:v>
      </x:c>
      <x:c r="J54" s="25" t="n">
        <x:f>F54+H54</x:f>
        <x:v>913</x:v>
      </x:c>
      <x:c r="K54" s="25" t="n">
        <x:f>G54+I54</x:f>
        <x:v>510</x:v>
      </x:c>
      <x:c r="L54" s="25" t="n">
        <x:v>20</x:v>
      </x:c>
      <x:c r="M54" s="25" t="n">
        <x:v>530</x:v>
      </x:c>
      <x:c r="N54" s="25" t="n">
        <x:v>1500</x:v>
      </x:c>
      <x:c r="O54" s="25" t="n">
        <x:v>132</x:v>
      </x:c>
      <x:c r="P54" s="25" t="n">
        <x:f>L54+N54</x:f>
        <x:v>1520</x:v>
      </x:c>
      <x:c r="Q54" s="25" t="n">
        <x:f>M54+O54</x:f>
        <x:v>662</x:v>
      </x:c>
      <x:c r="R54" s="25" t="n">
        <x:f>MAX(0,MIN(J54,P54)-MAX(F54,L54))</x:f>
        <x:v>287</x:v>
      </x:c>
      <x:c r="S54" s="25" t="n">
        <x:f>MAX(0,MIN(K54,Q54)-MAX(G54,M54))</x:f>
        <x:v>0</x:v>
      </x:c>
      <x:c r="T54" s="25" t="n">
        <x:f>R54*S54</x:f>
        <x:v>0</x:v>
      </x:c>
      <x:c r="U54" s="24" t="str">
        <x:f>IF(T54&gt;0,"ERREUR chevauchement","OK aucun chevauchement")</x:f>
        <x:v>OK aucun chevauchement</x:v>
      </x:c>
      <x:c r="V54" s="24" t="str">
        <x:v>OK aucun chevauchement</x:v>
      </x:c>
      <x:c r="W54" s="24" t="str">
        <x:v>Si ERREUR : déplacer/redimensionner l’objet B ou créer un bookmark/masquage</x:v>
      </x:c>
    </x:row>
    <x:row r="55">
      <x:c r="A55" s="24" t="str">
        <x:v>Accueil</x:v>
      </x:c>
      <x:c r="B55" s="24" t="str">
        <x:v>G03_KPI_Row</x:v>
      </x:c>
      <x:c r="C55" s="24" t="str">
        <x:v>KPI_Card_03</x:v>
      </x:c>
      <x:c r="D55" s="24" t="str">
        <x:v>G05_Alertes_Reco</x:v>
      </x:c>
      <x:c r="E55" s="24" t="str">
        <x:v>Bloc_Alertes</x:v>
      </x:c>
      <x:c r="F55" s="25" t="n">
        <x:v>626</x:v>
      </x:c>
      <x:c r="G55" s="25" t="n">
        <x:v>330</x:v>
      </x:c>
      <x:c r="H55" s="25" t="n">
        <x:v>287</x:v>
      </x:c>
      <x:c r="I55" s="25" t="n">
        <x:v>180</x:v>
      </x:c>
      <x:c r="J55" s="25" t="n">
        <x:f>F55+H55</x:f>
        <x:v>913</x:v>
      </x:c>
      <x:c r="K55" s="25" t="n">
        <x:f>G55+I55</x:f>
        <x:v>510</x:v>
      </x:c>
      <x:c r="L55" s="25" t="n">
        <x:v>20</x:v>
      </x:c>
      <x:c r="M55" s="25" t="n">
        <x:v>682</x:v>
      </x:c>
      <x:c r="N55" s="25" t="n">
        <x:v>742</x:v>
      </x:c>
      <x:c r="O55" s="25" t="n">
        <x:v>280</x:v>
      </x:c>
      <x:c r="P55" s="25" t="n">
        <x:f>L55+N55</x:f>
        <x:v>762</x:v>
      </x:c>
      <x:c r="Q55" s="25" t="n">
        <x:f>M55+O55</x:f>
        <x:v>962</x:v>
      </x:c>
      <x:c r="R55" s="25" t="n">
        <x:f>MAX(0,MIN(J55,P55)-MAX(F55,L55))</x:f>
        <x:v>136</x:v>
      </x:c>
      <x:c r="S55" s="25" t="n">
        <x:f>MAX(0,MIN(K55,Q55)-MAX(G55,M55))</x:f>
        <x:v>0</x:v>
      </x:c>
      <x:c r="T55" s="25" t="n">
        <x:f>R55*S55</x:f>
        <x:v>0</x:v>
      </x:c>
      <x:c r="U55" s="24" t="str">
        <x:f>IF(T55&gt;0,"ERREUR chevauchement","OK aucun chevauchement")</x:f>
        <x:v>OK aucun chevauchement</x:v>
      </x:c>
      <x:c r="V55" s="24" t="str">
        <x:v>OK aucun chevauchement</x:v>
      </x:c>
      <x:c r="W55" s="24" t="str">
        <x:v>Si ERREUR : déplacer/redimensionner l’objet B ou créer un bookmark/masquage</x:v>
      </x:c>
    </x:row>
    <x:row r="56">
      <x:c r="A56" s="24" t="str">
        <x:v>Accueil</x:v>
      </x:c>
      <x:c r="B56" s="24" t="str">
        <x:v>G03_KPI_Row</x:v>
      </x:c>
      <x:c r="C56" s="24" t="str">
        <x:v>KPI_Card_03</x:v>
      </x:c>
      <x:c r="D56" s="24" t="str">
        <x:v>G05_Alertes_Reco</x:v>
      </x:c>
      <x:c r="E56" s="24" t="str">
        <x:v>Bloc_Recommandation</x:v>
      </x:c>
      <x:c r="F56" s="25" t="n">
        <x:v>626</x:v>
      </x:c>
      <x:c r="G56" s="25" t="n">
        <x:v>330</x:v>
      </x:c>
      <x:c r="H56" s="25" t="n">
        <x:v>287</x:v>
      </x:c>
      <x:c r="I56" s="25" t="n">
        <x:v>180</x:v>
      </x:c>
      <x:c r="J56" s="25" t="n">
        <x:f>F56+H56</x:f>
        <x:v>913</x:v>
      </x:c>
      <x:c r="K56" s="25" t="n">
        <x:f>G56+I56</x:f>
        <x:v>510</x:v>
      </x:c>
      <x:c r="L56" s="25" t="n">
        <x:v>778</x:v>
      </x:c>
      <x:c r="M56" s="25" t="n">
        <x:v>682</x:v>
      </x:c>
      <x:c r="N56" s="25" t="n">
        <x:v>742</x:v>
      </x:c>
      <x:c r="O56" s="25" t="n">
        <x:v>280</x:v>
      </x:c>
      <x:c r="P56" s="25" t="n">
        <x:f>L56+N56</x:f>
        <x:v>1520</x:v>
      </x:c>
      <x:c r="Q56" s="25" t="n">
        <x:f>M56+O56</x:f>
        <x:v>962</x:v>
      </x:c>
      <x:c r="R56" s="25" t="n">
        <x:f>MAX(0,MIN(J56,P56)-MAX(F56,L56))</x:f>
        <x:v>135</x:v>
      </x:c>
      <x:c r="S56" s="25" t="n">
        <x:f>MAX(0,MIN(K56,Q56)-MAX(G56,M56))</x:f>
        <x:v>0</x:v>
      </x:c>
      <x:c r="T56" s="25" t="n">
        <x:f>R56*S56</x:f>
        <x:v>0</x:v>
      </x:c>
      <x:c r="U56" s="24" t="str">
        <x:f>IF(T56&gt;0,"ERREUR chevauchement","OK aucun chevauchement")</x:f>
        <x:v>OK aucun chevauchement</x:v>
      </x:c>
      <x:c r="V56" s="24" t="str">
        <x:v>OK aucun chevauchement</x:v>
      </x:c>
      <x:c r="W56" s="24" t="str">
        <x:v>Si ERREUR : déplacer/redimensionner l’objet B ou créer un bookmark/masquage</x:v>
      </x:c>
    </x:row>
    <x:row r="57">
      <x:c r="A57" s="24" t="str">
        <x:v>Accueil</x:v>
      </x:c>
      <x:c r="B57" s="24" t="str">
        <x:v>G03_KPI_Row</x:v>
      </x:c>
      <x:c r="C57" s="24" t="str">
        <x:v>KPI_Card_03</x:v>
      </x:c>
      <x:c r="D57" s="24" t="str">
        <x:v>G06_Charts</x:v>
      </x:c>
      <x:c r="E57" s="24" t="str">
        <x:v>Line_Affaires</x:v>
      </x:c>
      <x:c r="F57" s="25" t="n">
        <x:v>626</x:v>
      </x:c>
      <x:c r="G57" s="25" t="n">
        <x:v>330</x:v>
      </x:c>
      <x:c r="H57" s="25" t="n">
        <x:v>287</x:v>
      </x:c>
      <x:c r="I57" s="25" t="n">
        <x:v>180</x:v>
      </x:c>
      <x:c r="J57" s="25" t="n">
        <x:f>F57+H57</x:f>
        <x:v>913</x:v>
      </x:c>
      <x:c r="K57" s="25" t="n">
        <x:f>G57+I57</x:f>
        <x:v>510</x:v>
      </x:c>
      <x:c r="L57" s="25" t="n">
        <x:v>20</x:v>
      </x:c>
      <x:c r="M57" s="25" t="n">
        <x:v>982</x:v>
      </x:c>
      <x:c r="N57" s="25" t="n">
        <x:v>742</x:v>
      </x:c>
      <x:c r="O57" s="25" t="n">
        <x:v>360</x:v>
      </x:c>
      <x:c r="P57" s="25" t="n">
        <x:f>L57+N57</x:f>
        <x:v>762</x:v>
      </x:c>
      <x:c r="Q57" s="25" t="n">
        <x:f>M57+O57</x:f>
        <x:v>1342</x:v>
      </x:c>
      <x:c r="R57" s="25" t="n">
        <x:f>MAX(0,MIN(J57,P57)-MAX(F57,L57))</x:f>
        <x:v>136</x:v>
      </x:c>
      <x:c r="S57" s="25" t="n">
        <x:f>MAX(0,MIN(K57,Q57)-MAX(G57,M57))</x:f>
        <x:v>0</x:v>
      </x:c>
      <x:c r="T57" s="25" t="n">
        <x:f>R57*S57</x:f>
        <x:v>0</x:v>
      </x:c>
      <x:c r="U57" s="24" t="str">
        <x:f>IF(T57&gt;0,"ERREUR chevauchement","OK aucun chevauchement")</x:f>
        <x:v>OK aucun chevauchement</x:v>
      </x:c>
      <x:c r="V57" s="24" t="str">
        <x:v>OK aucun chevauchement</x:v>
      </x:c>
      <x:c r="W57" s="24" t="str">
        <x:v>Si ERREUR : déplacer/redimensionner l’objet B ou créer un bookmark/masquage</x:v>
      </x:c>
    </x:row>
    <x:row r="58">
      <x:c r="A58" s="24" t="str">
        <x:v>Accueil</x:v>
      </x:c>
      <x:c r="B58" s="24" t="str">
        <x:v>G03_KPI_Row</x:v>
      </x:c>
      <x:c r="C58" s="24" t="str">
        <x:v>KPI_Card_03</x:v>
      </x:c>
      <x:c r="D58" s="24" t="str">
        <x:v>G06_Charts</x:v>
      </x:c>
      <x:c r="E58" s="24" t="str">
        <x:v>Bar_Repartition</x:v>
      </x:c>
      <x:c r="F58" s="25" t="n">
        <x:v>626</x:v>
      </x:c>
      <x:c r="G58" s="25" t="n">
        <x:v>330</x:v>
      </x:c>
      <x:c r="H58" s="25" t="n">
        <x:v>287</x:v>
      </x:c>
      <x:c r="I58" s="25" t="n">
        <x:v>180</x:v>
      </x:c>
      <x:c r="J58" s="25" t="n">
        <x:f>F58+H58</x:f>
        <x:v>913</x:v>
      </x:c>
      <x:c r="K58" s="25" t="n">
        <x:f>G58+I58</x:f>
        <x:v>510</x:v>
      </x:c>
      <x:c r="L58" s="25" t="n">
        <x:v>778</x:v>
      </x:c>
      <x:c r="M58" s="25" t="n">
        <x:v>982</x:v>
      </x:c>
      <x:c r="N58" s="25" t="n">
        <x:v>742</x:v>
      </x:c>
      <x:c r="O58" s="25" t="n">
        <x:v>360</x:v>
      </x:c>
      <x:c r="P58" s="25" t="n">
        <x:f>L58+N58</x:f>
        <x:v>1520</x:v>
      </x:c>
      <x:c r="Q58" s="25" t="n">
        <x:f>M58+O58</x:f>
        <x:v>1342</x:v>
      </x:c>
      <x:c r="R58" s="25" t="n">
        <x:f>MAX(0,MIN(J58,P58)-MAX(F58,L58))</x:f>
        <x:v>135</x:v>
      </x:c>
      <x:c r="S58" s="25" t="n">
        <x:f>MAX(0,MIN(K58,Q58)-MAX(G58,M58))</x:f>
        <x:v>0</x:v>
      </x:c>
      <x:c r="T58" s="25" t="n">
        <x:f>R58*S58</x:f>
        <x:v>0</x:v>
      </x:c>
      <x:c r="U58" s="24" t="str">
        <x:f>IF(T58&gt;0,"ERREUR chevauchement","OK aucun chevauchement")</x:f>
        <x:v>OK aucun chevauchement</x:v>
      </x:c>
      <x:c r="V58" s="24" t="str">
        <x:v>OK aucun chevauchement</x:v>
      </x:c>
      <x:c r="W58" s="24" t="str">
        <x:v>Si ERREUR : déplacer/redimensionner l’objet B ou créer un bookmark/masquage</x:v>
      </x:c>
    </x:row>
    <x:row r="59">
      <x:c r="A59" s="24" t="str">
        <x:v>Accueil</x:v>
      </x:c>
      <x:c r="B59" s="24" t="str">
        <x:v>G03_KPI_Row</x:v>
      </x:c>
      <x:c r="C59" s="24" t="str">
        <x:v>KPI_Card_04</x:v>
      </x:c>
      <x:c r="D59" s="24" t="str">
        <x:v>G03_KPI_Row</x:v>
      </x:c>
      <x:c r="E59" s="24" t="str">
        <x:v>KPI_Card_05</x:v>
      </x:c>
      <x:c r="F59" s="25" t="n">
        <x:v>929</x:v>
      </x:c>
      <x:c r="G59" s="25" t="n">
        <x:v>330</x:v>
      </x:c>
      <x:c r="H59" s="25" t="n">
        <x:v>287</x:v>
      </x:c>
      <x:c r="I59" s="25" t="n">
        <x:v>180</x:v>
      </x:c>
      <x:c r="J59" s="25" t="n">
        <x:f>F59+H59</x:f>
        <x:v>1216</x:v>
      </x:c>
      <x:c r="K59" s="25" t="n">
        <x:f>G59+I59</x:f>
        <x:v>510</x:v>
      </x:c>
      <x:c r="L59" s="25" t="n">
        <x:v>1232</x:v>
      </x:c>
      <x:c r="M59" s="25" t="n">
        <x:v>330</x:v>
      </x:c>
      <x:c r="N59" s="25" t="n">
        <x:v>287</x:v>
      </x:c>
      <x:c r="O59" s="25" t="n">
        <x:v>180</x:v>
      </x:c>
      <x:c r="P59" s="25" t="n">
        <x:f>L59+N59</x:f>
        <x:v>1519</x:v>
      </x:c>
      <x:c r="Q59" s="25" t="n">
        <x:f>M59+O59</x:f>
        <x:v>510</x:v>
      </x:c>
      <x:c r="R59" s="25" t="n">
        <x:f>MAX(0,MIN(J59,P59)-MAX(F59,L59))</x:f>
        <x:v>0</x:v>
      </x:c>
      <x:c r="S59" s="25" t="n">
        <x:f>MAX(0,MIN(K59,Q59)-MAX(G59,M59))</x:f>
        <x:v>180</x:v>
      </x:c>
      <x:c r="T59" s="25" t="n">
        <x:f>R59*S59</x:f>
        <x:v>0</x:v>
      </x:c>
      <x:c r="U59" s="24" t="str">
        <x:f>IF(T59&gt;0,"ERREUR chevauchement","OK aucun chevauchement")</x:f>
        <x:v>OK aucun chevauchement</x:v>
      </x:c>
      <x:c r="V59" s="24" t="str">
        <x:v>OK aucun chevauchement</x:v>
      </x:c>
      <x:c r="W59" s="24" t="str">
        <x:v>Si ERREUR : déplacer/redimensionner l’objet B ou créer un bookmark/masquage</x:v>
      </x:c>
    </x:row>
    <x:row r="60">
      <x:c r="A60" s="24" t="str">
        <x:v>Accueil</x:v>
      </x:c>
      <x:c r="B60" s="24" t="str">
        <x:v>G03_KPI_Row</x:v>
      </x:c>
      <x:c r="C60" s="24" t="str">
        <x:v>KPI_Card_04</x:v>
      </x:c>
      <x:c r="D60" s="24" t="str">
        <x:v>G04_Gauges</x:v>
      </x:c>
      <x:c r="E60" s="24" t="str">
        <x:v>Gauge_Alertes_Row</x:v>
      </x:c>
      <x:c r="F60" s="25" t="n">
        <x:v>929</x:v>
      </x:c>
      <x:c r="G60" s="25" t="n">
        <x:v>330</x:v>
      </x:c>
      <x:c r="H60" s="25" t="n">
        <x:v>287</x:v>
      </x:c>
      <x:c r="I60" s="25" t="n">
        <x:v>180</x:v>
      </x:c>
      <x:c r="J60" s="25" t="n">
        <x:f>F60+H60</x:f>
        <x:v>1216</x:v>
      </x:c>
      <x:c r="K60" s="25" t="n">
        <x:f>G60+I60</x:f>
        <x:v>510</x:v>
      </x:c>
      <x:c r="L60" s="25" t="n">
        <x:v>20</x:v>
      </x:c>
      <x:c r="M60" s="25" t="n">
        <x:v>530</x:v>
      </x:c>
      <x:c r="N60" s="25" t="n">
        <x:v>1500</x:v>
      </x:c>
      <x:c r="O60" s="25" t="n">
        <x:v>132</x:v>
      </x:c>
      <x:c r="P60" s="25" t="n">
        <x:f>L60+N60</x:f>
        <x:v>1520</x:v>
      </x:c>
      <x:c r="Q60" s="25" t="n">
        <x:f>M60+O60</x:f>
        <x:v>662</x:v>
      </x:c>
      <x:c r="R60" s="25" t="n">
        <x:f>MAX(0,MIN(J60,P60)-MAX(F60,L60))</x:f>
        <x:v>287</x:v>
      </x:c>
      <x:c r="S60" s="25" t="n">
        <x:f>MAX(0,MIN(K60,Q60)-MAX(G60,M60))</x:f>
        <x:v>0</x:v>
      </x:c>
      <x:c r="T60" s="25" t="n">
        <x:f>R60*S60</x:f>
        <x:v>0</x:v>
      </x:c>
      <x:c r="U60" s="24" t="str">
        <x:f>IF(T60&gt;0,"ERREUR chevauchement","OK aucun chevauchement")</x:f>
        <x:v>OK aucun chevauchement</x:v>
      </x:c>
      <x:c r="V60" s="24" t="str">
        <x:v>OK aucun chevauchement</x:v>
      </x:c>
      <x:c r="W60" s="24" t="str">
        <x:v>Si ERREUR : déplacer/redimensionner l’objet B ou créer un bookmark/masquage</x:v>
      </x:c>
    </x:row>
    <x:row r="61">
      <x:c r="A61" s="24" t="str">
        <x:v>Accueil</x:v>
      </x:c>
      <x:c r="B61" s="24" t="str">
        <x:v>G03_KPI_Row</x:v>
      </x:c>
      <x:c r="C61" s="24" t="str">
        <x:v>KPI_Card_04</x:v>
      </x:c>
      <x:c r="D61" s="24" t="str">
        <x:v>G05_Alertes_Reco</x:v>
      </x:c>
      <x:c r="E61" s="24" t="str">
        <x:v>Bloc_Alertes</x:v>
      </x:c>
      <x:c r="F61" s="25" t="n">
        <x:v>929</x:v>
      </x:c>
      <x:c r="G61" s="25" t="n">
        <x:v>330</x:v>
      </x:c>
      <x:c r="H61" s="25" t="n">
        <x:v>287</x:v>
      </x:c>
      <x:c r="I61" s="25" t="n">
        <x:v>180</x:v>
      </x:c>
      <x:c r="J61" s="25" t="n">
        <x:f>F61+H61</x:f>
        <x:v>1216</x:v>
      </x:c>
      <x:c r="K61" s="25" t="n">
        <x:f>G61+I61</x:f>
        <x:v>510</x:v>
      </x:c>
      <x:c r="L61" s="25" t="n">
        <x:v>20</x:v>
      </x:c>
      <x:c r="M61" s="25" t="n">
        <x:v>682</x:v>
      </x:c>
      <x:c r="N61" s="25" t="n">
        <x:v>742</x:v>
      </x:c>
      <x:c r="O61" s="25" t="n">
        <x:v>280</x:v>
      </x:c>
      <x:c r="P61" s="25" t="n">
        <x:f>L61+N61</x:f>
        <x:v>762</x:v>
      </x:c>
      <x:c r="Q61" s="25" t="n">
        <x:f>M61+O61</x:f>
        <x:v>962</x:v>
      </x:c>
      <x:c r="R61" s="25" t="n">
        <x:f>MAX(0,MIN(J61,P61)-MAX(F61,L61))</x:f>
        <x:v>0</x:v>
      </x:c>
      <x:c r="S61" s="25" t="n">
        <x:f>MAX(0,MIN(K61,Q61)-MAX(G61,M61))</x:f>
        <x:v>0</x:v>
      </x:c>
      <x:c r="T61" s="25" t="n">
        <x:f>R61*S61</x:f>
        <x:v>0</x:v>
      </x:c>
      <x:c r="U61" s="24" t="str">
        <x:f>IF(T61&gt;0,"ERREUR chevauchement","OK aucun chevauchement")</x:f>
        <x:v>OK aucun chevauchement</x:v>
      </x:c>
      <x:c r="V61" s="24" t="str">
        <x:v>OK aucun chevauchement</x:v>
      </x:c>
      <x:c r="W61" s="24" t="str">
        <x:v>Si ERREUR : déplacer/redimensionner l’objet B ou créer un bookmark/masquage</x:v>
      </x:c>
    </x:row>
    <x:row r="62">
      <x:c r="A62" s="24" t="str">
        <x:v>Accueil</x:v>
      </x:c>
      <x:c r="B62" s="24" t="str">
        <x:v>G03_KPI_Row</x:v>
      </x:c>
      <x:c r="C62" s="24" t="str">
        <x:v>KPI_Card_04</x:v>
      </x:c>
      <x:c r="D62" s="24" t="str">
        <x:v>G05_Alertes_Reco</x:v>
      </x:c>
      <x:c r="E62" s="24" t="str">
        <x:v>Bloc_Recommandation</x:v>
      </x:c>
      <x:c r="F62" s="25" t="n">
        <x:v>929</x:v>
      </x:c>
      <x:c r="G62" s="25" t="n">
        <x:v>330</x:v>
      </x:c>
      <x:c r="H62" s="25" t="n">
        <x:v>287</x:v>
      </x:c>
      <x:c r="I62" s="25" t="n">
        <x:v>180</x:v>
      </x:c>
      <x:c r="J62" s="25" t="n">
        <x:f>F62+H62</x:f>
        <x:v>1216</x:v>
      </x:c>
      <x:c r="K62" s="25" t="n">
        <x:f>G62+I62</x:f>
        <x:v>510</x:v>
      </x:c>
      <x:c r="L62" s="25" t="n">
        <x:v>778</x:v>
      </x:c>
      <x:c r="M62" s="25" t="n">
        <x:v>682</x:v>
      </x:c>
      <x:c r="N62" s="25" t="n">
        <x:v>742</x:v>
      </x:c>
      <x:c r="O62" s="25" t="n">
        <x:v>280</x:v>
      </x:c>
      <x:c r="P62" s="25" t="n">
        <x:f>L62+N62</x:f>
        <x:v>1520</x:v>
      </x:c>
      <x:c r="Q62" s="25" t="n">
        <x:f>M62+O62</x:f>
        <x:v>962</x:v>
      </x:c>
      <x:c r="R62" s="25" t="n">
        <x:f>MAX(0,MIN(J62,P62)-MAX(F62,L62))</x:f>
        <x:v>287</x:v>
      </x:c>
      <x:c r="S62" s="25" t="n">
        <x:f>MAX(0,MIN(K62,Q62)-MAX(G62,M62))</x:f>
        <x:v>0</x:v>
      </x:c>
      <x:c r="T62" s="25" t="n">
        <x:f>R62*S62</x:f>
        <x:v>0</x:v>
      </x:c>
      <x:c r="U62" s="24" t="str">
        <x:f>IF(T62&gt;0,"ERREUR chevauchement","OK aucun chevauchement")</x:f>
        <x:v>OK aucun chevauchement</x:v>
      </x:c>
      <x:c r="V62" s="24" t="str">
        <x:v>OK aucun chevauchement</x:v>
      </x:c>
      <x:c r="W62" s="24" t="str">
        <x:v>Si ERREUR : déplacer/redimensionner l’objet B ou créer un bookmark/masquage</x:v>
      </x:c>
    </x:row>
    <x:row r="63">
      <x:c r="A63" s="24" t="str">
        <x:v>Accueil</x:v>
      </x:c>
      <x:c r="B63" s="24" t="str">
        <x:v>G03_KPI_Row</x:v>
      </x:c>
      <x:c r="C63" s="24" t="str">
        <x:v>KPI_Card_04</x:v>
      </x:c>
      <x:c r="D63" s="24" t="str">
        <x:v>G06_Charts</x:v>
      </x:c>
      <x:c r="E63" s="24" t="str">
        <x:v>Line_Affaires</x:v>
      </x:c>
      <x:c r="F63" s="25" t="n">
        <x:v>929</x:v>
      </x:c>
      <x:c r="G63" s="25" t="n">
        <x:v>330</x:v>
      </x:c>
      <x:c r="H63" s="25" t="n">
        <x:v>287</x:v>
      </x:c>
      <x:c r="I63" s="25" t="n">
        <x:v>180</x:v>
      </x:c>
      <x:c r="J63" s="25" t="n">
        <x:f>F63+H63</x:f>
        <x:v>1216</x:v>
      </x:c>
      <x:c r="K63" s="25" t="n">
        <x:f>G63+I63</x:f>
        <x:v>510</x:v>
      </x:c>
      <x:c r="L63" s="25" t="n">
        <x:v>20</x:v>
      </x:c>
      <x:c r="M63" s="25" t="n">
        <x:v>982</x:v>
      </x:c>
      <x:c r="N63" s="25" t="n">
        <x:v>742</x:v>
      </x:c>
      <x:c r="O63" s="25" t="n">
        <x:v>360</x:v>
      </x:c>
      <x:c r="P63" s="25" t="n">
        <x:f>L63+N63</x:f>
        <x:v>762</x:v>
      </x:c>
      <x:c r="Q63" s="25" t="n">
        <x:f>M63+O63</x:f>
        <x:v>1342</x:v>
      </x:c>
      <x:c r="R63" s="25" t="n">
        <x:f>MAX(0,MIN(J63,P63)-MAX(F63,L63))</x:f>
        <x:v>0</x:v>
      </x:c>
      <x:c r="S63" s="25" t="n">
        <x:f>MAX(0,MIN(K63,Q63)-MAX(G63,M63))</x:f>
        <x:v>0</x:v>
      </x:c>
      <x:c r="T63" s="25" t="n">
        <x:f>R63*S63</x:f>
        <x:v>0</x:v>
      </x:c>
      <x:c r="U63" s="24" t="str">
        <x:f>IF(T63&gt;0,"ERREUR chevauchement","OK aucun chevauchement")</x:f>
        <x:v>OK aucun chevauchement</x:v>
      </x:c>
      <x:c r="V63" s="24" t="str">
        <x:v>OK aucun chevauchement</x:v>
      </x:c>
      <x:c r="W63" s="24" t="str">
        <x:v>Si ERREUR : déplacer/redimensionner l’objet B ou créer un bookmark/masquage</x:v>
      </x:c>
    </x:row>
    <x:row r="64">
      <x:c r="A64" s="24" t="str">
        <x:v>Accueil</x:v>
      </x:c>
      <x:c r="B64" s="24" t="str">
        <x:v>G03_KPI_Row</x:v>
      </x:c>
      <x:c r="C64" s="24" t="str">
        <x:v>KPI_Card_04</x:v>
      </x:c>
      <x:c r="D64" s="24" t="str">
        <x:v>G06_Charts</x:v>
      </x:c>
      <x:c r="E64" s="24" t="str">
        <x:v>Bar_Repartition</x:v>
      </x:c>
      <x:c r="F64" s="25" t="n">
        <x:v>929</x:v>
      </x:c>
      <x:c r="G64" s="25" t="n">
        <x:v>330</x:v>
      </x:c>
      <x:c r="H64" s="25" t="n">
        <x:v>287</x:v>
      </x:c>
      <x:c r="I64" s="25" t="n">
        <x:v>180</x:v>
      </x:c>
      <x:c r="J64" s="25" t="n">
        <x:f>F64+H64</x:f>
        <x:v>1216</x:v>
      </x:c>
      <x:c r="K64" s="25" t="n">
        <x:f>G64+I64</x:f>
        <x:v>510</x:v>
      </x:c>
      <x:c r="L64" s="25" t="n">
        <x:v>778</x:v>
      </x:c>
      <x:c r="M64" s="25" t="n">
        <x:v>982</x:v>
      </x:c>
      <x:c r="N64" s="25" t="n">
        <x:v>742</x:v>
      </x:c>
      <x:c r="O64" s="25" t="n">
        <x:v>360</x:v>
      </x:c>
      <x:c r="P64" s="25" t="n">
        <x:f>L64+N64</x:f>
        <x:v>1520</x:v>
      </x:c>
      <x:c r="Q64" s="25" t="n">
        <x:f>M64+O64</x:f>
        <x:v>1342</x:v>
      </x:c>
      <x:c r="R64" s="25" t="n">
        <x:f>MAX(0,MIN(J64,P64)-MAX(F64,L64))</x:f>
        <x:v>287</x:v>
      </x:c>
      <x:c r="S64" s="25" t="n">
        <x:f>MAX(0,MIN(K64,Q64)-MAX(G64,M64))</x:f>
        <x:v>0</x:v>
      </x:c>
      <x:c r="T64" s="25" t="n">
        <x:f>R64*S64</x:f>
        <x:v>0</x:v>
      </x:c>
      <x:c r="U64" s="24" t="str">
        <x:f>IF(T64&gt;0,"ERREUR chevauchement","OK aucun chevauchement")</x:f>
        <x:v>OK aucun chevauchement</x:v>
      </x:c>
      <x:c r="V64" s="24" t="str">
        <x:v>OK aucun chevauchement</x:v>
      </x:c>
      <x:c r="W64" s="24" t="str">
        <x:v>Si ERREUR : déplacer/redimensionner l’objet B ou créer un bookmark/masquage</x:v>
      </x:c>
    </x:row>
    <x:row r="65">
      <x:c r="A65" s="24" t="str">
        <x:v>Accueil</x:v>
      </x:c>
      <x:c r="B65" s="24" t="str">
        <x:v>G03_KPI_Row</x:v>
      </x:c>
      <x:c r="C65" s="24" t="str">
        <x:v>KPI_Card_05</x:v>
      </x:c>
      <x:c r="D65" s="24" t="str">
        <x:v>G04_Gauges</x:v>
      </x:c>
      <x:c r="E65" s="24" t="str">
        <x:v>Gauge_Alertes_Row</x:v>
      </x:c>
      <x:c r="F65" s="25" t="n">
        <x:v>1232</x:v>
      </x:c>
      <x:c r="G65" s="25" t="n">
        <x:v>330</x:v>
      </x:c>
      <x:c r="H65" s="25" t="n">
        <x:v>287</x:v>
      </x:c>
      <x:c r="I65" s="25" t="n">
        <x:v>180</x:v>
      </x:c>
      <x:c r="J65" s="25" t="n">
        <x:f>F65+H65</x:f>
        <x:v>1519</x:v>
      </x:c>
      <x:c r="K65" s="25" t="n">
        <x:f>G65+I65</x:f>
        <x:v>510</x:v>
      </x:c>
      <x:c r="L65" s="25" t="n">
        <x:v>20</x:v>
      </x:c>
      <x:c r="M65" s="25" t="n">
        <x:v>530</x:v>
      </x:c>
      <x:c r="N65" s="25" t="n">
        <x:v>1500</x:v>
      </x:c>
      <x:c r="O65" s="25" t="n">
        <x:v>132</x:v>
      </x:c>
      <x:c r="P65" s="25" t="n">
        <x:f>L65+N65</x:f>
        <x:v>1520</x:v>
      </x:c>
      <x:c r="Q65" s="25" t="n">
        <x:f>M65+O65</x:f>
        <x:v>662</x:v>
      </x:c>
      <x:c r="R65" s="25" t="n">
        <x:f>MAX(0,MIN(J65,P65)-MAX(F65,L65))</x:f>
        <x:v>287</x:v>
      </x:c>
      <x:c r="S65" s="25" t="n">
        <x:f>MAX(0,MIN(K65,Q65)-MAX(G65,M65))</x:f>
        <x:v>0</x:v>
      </x:c>
      <x:c r="T65" s="25" t="n">
        <x:f>R65*S65</x:f>
        <x:v>0</x:v>
      </x:c>
      <x:c r="U65" s="24" t="str">
        <x:f>IF(T65&gt;0,"ERREUR chevauchement","OK aucun chevauchement")</x:f>
        <x:v>OK aucun chevauchement</x:v>
      </x:c>
      <x:c r="V65" s="24" t="str">
        <x:v>OK aucun chevauchement</x:v>
      </x:c>
      <x:c r="W65" s="24" t="str">
        <x:v>Si ERREUR : déplacer/redimensionner l’objet B ou créer un bookmark/masquage</x:v>
      </x:c>
    </x:row>
    <x:row r="66">
      <x:c r="A66" s="24" t="str">
        <x:v>Accueil</x:v>
      </x:c>
      <x:c r="B66" s="24" t="str">
        <x:v>G03_KPI_Row</x:v>
      </x:c>
      <x:c r="C66" s="24" t="str">
        <x:v>KPI_Card_05</x:v>
      </x:c>
      <x:c r="D66" s="24" t="str">
        <x:v>G05_Alertes_Reco</x:v>
      </x:c>
      <x:c r="E66" s="24" t="str">
        <x:v>Bloc_Alertes</x:v>
      </x:c>
      <x:c r="F66" s="25" t="n">
        <x:v>1232</x:v>
      </x:c>
      <x:c r="G66" s="25" t="n">
        <x:v>330</x:v>
      </x:c>
      <x:c r="H66" s="25" t="n">
        <x:v>287</x:v>
      </x:c>
      <x:c r="I66" s="25" t="n">
        <x:v>180</x:v>
      </x:c>
      <x:c r="J66" s="25" t="n">
        <x:f>F66+H66</x:f>
        <x:v>1519</x:v>
      </x:c>
      <x:c r="K66" s="25" t="n">
        <x:f>G66+I66</x:f>
        <x:v>510</x:v>
      </x:c>
      <x:c r="L66" s="25" t="n">
        <x:v>20</x:v>
      </x:c>
      <x:c r="M66" s="25" t="n">
        <x:v>682</x:v>
      </x:c>
      <x:c r="N66" s="25" t="n">
        <x:v>742</x:v>
      </x:c>
      <x:c r="O66" s="25" t="n">
        <x:v>280</x:v>
      </x:c>
      <x:c r="P66" s="25" t="n">
        <x:f>L66+N66</x:f>
        <x:v>762</x:v>
      </x:c>
      <x:c r="Q66" s="25" t="n">
        <x:f>M66+O66</x:f>
        <x:v>962</x:v>
      </x:c>
      <x:c r="R66" s="25" t="n">
        <x:f>MAX(0,MIN(J66,P66)-MAX(F66,L66))</x:f>
        <x:v>0</x:v>
      </x:c>
      <x:c r="S66" s="25" t="n">
        <x:f>MAX(0,MIN(K66,Q66)-MAX(G66,M66))</x:f>
        <x:v>0</x:v>
      </x:c>
      <x:c r="T66" s="25" t="n">
        <x:f>R66*S66</x:f>
        <x:v>0</x:v>
      </x:c>
      <x:c r="U66" s="24" t="str">
        <x:f>IF(T66&gt;0,"ERREUR chevauchement","OK aucun chevauchement")</x:f>
        <x:v>OK aucun chevauchement</x:v>
      </x:c>
      <x:c r="V66" s="24" t="str">
        <x:v>OK aucun chevauchement</x:v>
      </x:c>
      <x:c r="W66" s="24" t="str">
        <x:v>Si ERREUR : déplacer/redimensionner l’objet B ou créer un bookmark/masquage</x:v>
      </x:c>
    </x:row>
    <x:row r="67">
      <x:c r="A67" s="24" t="str">
        <x:v>Accueil</x:v>
      </x:c>
      <x:c r="B67" s="24" t="str">
        <x:v>G03_KPI_Row</x:v>
      </x:c>
      <x:c r="C67" s="24" t="str">
        <x:v>KPI_Card_05</x:v>
      </x:c>
      <x:c r="D67" s="24" t="str">
        <x:v>G05_Alertes_Reco</x:v>
      </x:c>
      <x:c r="E67" s="24" t="str">
        <x:v>Bloc_Recommandation</x:v>
      </x:c>
      <x:c r="F67" s="25" t="n">
        <x:v>1232</x:v>
      </x:c>
      <x:c r="G67" s="25" t="n">
        <x:v>330</x:v>
      </x:c>
      <x:c r="H67" s="25" t="n">
        <x:v>287</x:v>
      </x:c>
      <x:c r="I67" s="25" t="n">
        <x:v>180</x:v>
      </x:c>
      <x:c r="J67" s="25" t="n">
        <x:f>F67+H67</x:f>
        <x:v>1519</x:v>
      </x:c>
      <x:c r="K67" s="25" t="n">
        <x:f>G67+I67</x:f>
        <x:v>510</x:v>
      </x:c>
      <x:c r="L67" s="25" t="n">
        <x:v>778</x:v>
      </x:c>
      <x:c r="M67" s="25" t="n">
        <x:v>682</x:v>
      </x:c>
      <x:c r="N67" s="25" t="n">
        <x:v>742</x:v>
      </x:c>
      <x:c r="O67" s="25" t="n">
        <x:v>280</x:v>
      </x:c>
      <x:c r="P67" s="25" t="n">
        <x:f>L67+N67</x:f>
        <x:v>1520</x:v>
      </x:c>
      <x:c r="Q67" s="25" t="n">
        <x:f>M67+O67</x:f>
        <x:v>962</x:v>
      </x:c>
      <x:c r="R67" s="25" t="n">
        <x:f>MAX(0,MIN(J67,P67)-MAX(F67,L67))</x:f>
        <x:v>287</x:v>
      </x:c>
      <x:c r="S67" s="25" t="n">
        <x:f>MAX(0,MIN(K67,Q67)-MAX(G67,M67))</x:f>
        <x:v>0</x:v>
      </x:c>
      <x:c r="T67" s="25" t="n">
        <x:f>R67*S67</x:f>
        <x:v>0</x:v>
      </x:c>
      <x:c r="U67" s="24" t="str">
        <x:f>IF(T67&gt;0,"ERREUR chevauchement","OK aucun chevauchement")</x:f>
        <x:v>OK aucun chevauchement</x:v>
      </x:c>
      <x:c r="V67" s="24" t="str">
        <x:v>OK aucun chevauchement</x:v>
      </x:c>
      <x:c r="W67" s="24" t="str">
        <x:v>Si ERREUR : déplacer/redimensionner l’objet B ou créer un bookmark/masquage</x:v>
      </x:c>
    </x:row>
    <x:row r="68">
      <x:c r="A68" s="24" t="str">
        <x:v>Accueil</x:v>
      </x:c>
      <x:c r="B68" s="24" t="str">
        <x:v>G03_KPI_Row</x:v>
      </x:c>
      <x:c r="C68" s="24" t="str">
        <x:v>KPI_Card_05</x:v>
      </x:c>
      <x:c r="D68" s="24" t="str">
        <x:v>G06_Charts</x:v>
      </x:c>
      <x:c r="E68" s="24" t="str">
        <x:v>Line_Affaires</x:v>
      </x:c>
      <x:c r="F68" s="25" t="n">
        <x:v>1232</x:v>
      </x:c>
      <x:c r="G68" s="25" t="n">
        <x:v>330</x:v>
      </x:c>
      <x:c r="H68" s="25" t="n">
        <x:v>287</x:v>
      </x:c>
      <x:c r="I68" s="25" t="n">
        <x:v>180</x:v>
      </x:c>
      <x:c r="J68" s="25" t="n">
        <x:f>F68+H68</x:f>
        <x:v>1519</x:v>
      </x:c>
      <x:c r="K68" s="25" t="n">
        <x:f>G68+I68</x:f>
        <x:v>510</x:v>
      </x:c>
      <x:c r="L68" s="25" t="n">
        <x:v>20</x:v>
      </x:c>
      <x:c r="M68" s="25" t="n">
        <x:v>982</x:v>
      </x:c>
      <x:c r="N68" s="25" t="n">
        <x:v>742</x:v>
      </x:c>
      <x:c r="O68" s="25" t="n">
        <x:v>360</x:v>
      </x:c>
      <x:c r="P68" s="25" t="n">
        <x:f>L68+N68</x:f>
        <x:v>762</x:v>
      </x:c>
      <x:c r="Q68" s="25" t="n">
        <x:f>M68+O68</x:f>
        <x:v>1342</x:v>
      </x:c>
      <x:c r="R68" s="25" t="n">
        <x:f>MAX(0,MIN(J68,P68)-MAX(F68,L68))</x:f>
        <x:v>0</x:v>
      </x:c>
      <x:c r="S68" s="25" t="n">
        <x:f>MAX(0,MIN(K68,Q68)-MAX(G68,M68))</x:f>
        <x:v>0</x:v>
      </x:c>
      <x:c r="T68" s="25" t="n">
        <x:f>R68*S68</x:f>
        <x:v>0</x:v>
      </x:c>
      <x:c r="U68" s="24" t="str">
        <x:f>IF(T68&gt;0,"ERREUR chevauchement","OK aucun chevauchement")</x:f>
        <x:v>OK aucun chevauchement</x:v>
      </x:c>
      <x:c r="V68" s="24" t="str">
        <x:v>OK aucun chevauchement</x:v>
      </x:c>
      <x:c r="W68" s="24" t="str">
        <x:v>Si ERREUR : déplacer/redimensionner l’objet B ou créer un bookmark/masquage</x:v>
      </x:c>
    </x:row>
    <x:row r="69">
      <x:c r="A69" s="24" t="str">
        <x:v>Accueil</x:v>
      </x:c>
      <x:c r="B69" s="24" t="str">
        <x:v>G03_KPI_Row</x:v>
      </x:c>
      <x:c r="C69" s="24" t="str">
        <x:v>KPI_Card_05</x:v>
      </x:c>
      <x:c r="D69" s="24" t="str">
        <x:v>G06_Charts</x:v>
      </x:c>
      <x:c r="E69" s="24" t="str">
        <x:v>Bar_Repartition</x:v>
      </x:c>
      <x:c r="F69" s="25" t="n">
        <x:v>1232</x:v>
      </x:c>
      <x:c r="G69" s="25" t="n">
        <x:v>330</x:v>
      </x:c>
      <x:c r="H69" s="25" t="n">
        <x:v>287</x:v>
      </x:c>
      <x:c r="I69" s="25" t="n">
        <x:v>180</x:v>
      </x:c>
      <x:c r="J69" s="25" t="n">
        <x:f>F69+H69</x:f>
        <x:v>1519</x:v>
      </x:c>
      <x:c r="K69" s="25" t="n">
        <x:f>G69+I69</x:f>
        <x:v>510</x:v>
      </x:c>
      <x:c r="L69" s="25" t="n">
        <x:v>778</x:v>
      </x:c>
      <x:c r="M69" s="25" t="n">
        <x:v>982</x:v>
      </x:c>
      <x:c r="N69" s="25" t="n">
        <x:v>742</x:v>
      </x:c>
      <x:c r="O69" s="25" t="n">
        <x:v>360</x:v>
      </x:c>
      <x:c r="P69" s="25" t="n">
        <x:f>L69+N69</x:f>
        <x:v>1520</x:v>
      </x:c>
      <x:c r="Q69" s="25" t="n">
        <x:f>M69+O69</x:f>
        <x:v>1342</x:v>
      </x:c>
      <x:c r="R69" s="25" t="n">
        <x:f>MAX(0,MIN(J69,P69)-MAX(F69,L69))</x:f>
        <x:v>287</x:v>
      </x:c>
      <x:c r="S69" s="25" t="n">
        <x:f>MAX(0,MIN(K69,Q69)-MAX(G69,M69))</x:f>
        <x:v>0</x:v>
      </x:c>
      <x:c r="T69" s="25" t="n">
        <x:f>R69*S69</x:f>
        <x:v>0</x:v>
      </x:c>
      <x:c r="U69" s="24" t="str">
        <x:f>IF(T69&gt;0,"ERREUR chevauchement","OK aucun chevauchement")</x:f>
        <x:v>OK aucun chevauchement</x:v>
      </x:c>
      <x:c r="V69" s="24" t="str">
        <x:v>OK aucun chevauchement</x:v>
      </x:c>
      <x:c r="W69" s="24" t="str">
        <x:v>Si ERREUR : déplacer/redimensionner l’objet B ou créer un bookmark/masquage</x:v>
      </x:c>
    </x:row>
    <x:row r="70">
      <x:c r="A70" s="24" t="str">
        <x:v>Performance</x:v>
      </x:c>
      <x:c r="B70" s="24" t="str">
        <x:v>G00_Header_Global</x:v>
      </x:c>
      <x:c r="C70" s="24" t="str">
        <x:v>Header_Global</x:v>
      </x:c>
      <x:c r="D70" s="24" t="str">
        <x:v>G01_Title_Zone</x:v>
      </x:c>
      <x:c r="E70" s="24" t="str">
        <x:v>Title_Zone</x:v>
      </x:c>
      <x:c r="F70" s="25" t="n">
        <x:v>0</x:v>
      </x:c>
      <x:c r="G70" s="25" t="n">
        <x:v>0</x:v>
      </x:c>
      <x:c r="H70" s="25" t="n">
        <x:v>1540</x:v>
      </x:c>
      <x:c r="I70" s="25" t="n">
        <x:v>88</x:v>
      </x:c>
      <x:c r="J70" s="25" t="n">
        <x:f>F70+H70</x:f>
        <x:v>1540</x:v>
      </x:c>
      <x:c r="K70" s="25" t="n">
        <x:f>G70+I70</x:f>
        <x:v>88</x:v>
      </x:c>
      <x:c r="L70" s="25" t="n">
        <x:v>20</x:v>
      </x:c>
      <x:c r="M70" s="25" t="n">
        <x:v>110</x:v>
      </x:c>
      <x:c r="N70" s="25" t="n">
        <x:v>1500</x:v>
      </x:c>
      <x:c r="O70" s="25" t="n">
        <x:v>132</x:v>
      </x:c>
      <x:c r="P70" s="25" t="n">
        <x:f>L70+N70</x:f>
        <x:v>1520</x:v>
      </x:c>
      <x:c r="Q70" s="25" t="n">
        <x:f>M70+O70</x:f>
        <x:v>242</x:v>
      </x:c>
      <x:c r="R70" s="25" t="n">
        <x:f>MAX(0,MIN(J70,P70)-MAX(F70,L70))</x:f>
        <x:v>1500</x:v>
      </x:c>
      <x:c r="S70" s="25" t="n">
        <x:f>MAX(0,MIN(K70,Q70)-MAX(G70,M70))</x:f>
        <x:v>0</x:v>
      </x:c>
      <x:c r="T70" s="25" t="n">
        <x:f>R70*S70</x:f>
        <x:v>0</x:v>
      </x:c>
      <x:c r="U70" s="24" t="str">
        <x:f>IF(T70&gt;0,"ERREUR chevauchement","OK aucun chevauchement")</x:f>
        <x:v>OK aucun chevauchement</x:v>
      </x:c>
      <x:c r="V70" s="24" t="str">
        <x:v>OK aucun chevauchement</x:v>
      </x:c>
      <x:c r="W70" s="24" t="str">
        <x:v>Si ERREUR : déplacer/redimensionner l’objet B ou créer un bookmark/masquage</x:v>
      </x:c>
    </x:row>
    <x:row r="71">
      <x:c r="A71" s="24" t="str">
        <x:v>Performance</x:v>
      </x:c>
      <x:c r="B71" s="24" t="str">
        <x:v>G00_Header_Global</x:v>
      </x:c>
      <x:c r="C71" s="24" t="str">
        <x:v>Header_Global</x:v>
      </x:c>
      <x:c r="D71" s="24" t="str">
        <x:v>G02_Toolbar</x:v>
      </x:c>
      <x:c r="E71" s="24" t="str">
        <x:v>Toolbar_Slicers_FieldParams</x:v>
      </x:c>
      <x:c r="F71" s="25" t="n">
        <x:v>0</x:v>
      </x:c>
      <x:c r="G71" s="25" t="n">
        <x:v>0</x:v>
      </x:c>
      <x:c r="H71" s="25" t="n">
        <x:v>1540</x:v>
      </x:c>
      <x:c r="I71" s="25" t="n">
        <x:v>88</x:v>
      </x:c>
      <x:c r="J71" s="25" t="n">
        <x:f>F71+H71</x:f>
        <x:v>1540</x:v>
      </x:c>
      <x:c r="K71" s="25" t="n">
        <x:f>G71+I71</x:f>
        <x:v>88</x:v>
      </x:c>
      <x:c r="L71" s="25" t="n">
        <x:v>20</x:v>
      </x:c>
      <x:c r="M71" s="25" t="n">
        <x:v>260</x:v>
      </x:c>
      <x:c r="N71" s="25" t="n">
        <x:v>1500</x:v>
      </x:c>
      <x:c r="O71" s="25" t="n">
        <x:v>56</x:v>
      </x:c>
      <x:c r="P71" s="25" t="n">
        <x:f>L71+N71</x:f>
        <x:v>1520</x:v>
      </x:c>
      <x:c r="Q71" s="25" t="n">
        <x:f>M71+O71</x:f>
        <x:v>316</x:v>
      </x:c>
      <x:c r="R71" s="25" t="n">
        <x:f>MAX(0,MIN(J71,P71)-MAX(F71,L71))</x:f>
        <x:v>1500</x:v>
      </x:c>
      <x:c r="S71" s="25" t="n">
        <x:f>MAX(0,MIN(K71,Q71)-MAX(G71,M71))</x:f>
        <x:v>0</x:v>
      </x:c>
      <x:c r="T71" s="25" t="n">
        <x:f>R71*S71</x:f>
        <x:v>0</x:v>
      </x:c>
      <x:c r="U71" s="24" t="str">
        <x:f>IF(T71&gt;0,"ERREUR chevauchement","OK aucun chevauchement")</x:f>
        <x:v>OK aucun chevauchement</x:v>
      </x:c>
      <x:c r="V71" s="24" t="str">
        <x:v>OK aucun chevauchement</x:v>
      </x:c>
      <x:c r="W71" s="24" t="str">
        <x:v>Si ERREUR : déplacer/redimensionner l’objet B ou créer un bookmark/masquage</x:v>
      </x:c>
    </x:row>
    <x:row r="72">
      <x:c r="A72" s="24" t="str">
        <x:v>Performance</x:v>
      </x:c>
      <x:c r="B72" s="24" t="str">
        <x:v>G00_Header_Global</x:v>
      </x:c>
      <x:c r="C72" s="24" t="str">
        <x:v>Header_Global</x:v>
      </x:c>
      <x:c r="D72" s="24" t="str">
        <x:v>G03_KPI_Row</x:v>
      </x:c>
      <x:c r="E72" s="24" t="str">
        <x:v>KPI_Card_01</x:v>
      </x:c>
      <x:c r="F72" s="25" t="n">
        <x:v>0</x:v>
      </x:c>
      <x:c r="G72" s="25" t="n">
        <x:v>0</x:v>
      </x:c>
      <x:c r="H72" s="25" t="n">
        <x:v>1540</x:v>
      </x:c>
      <x:c r="I72" s="25" t="n">
        <x:v>88</x:v>
      </x:c>
      <x:c r="J72" s="25" t="n">
        <x:f>F72+H72</x:f>
        <x:v>1540</x:v>
      </x:c>
      <x:c r="K72" s="25" t="n">
        <x:f>G72+I72</x:f>
        <x:v>88</x:v>
      </x:c>
      <x:c r="L72" s="25" t="n">
        <x:v>20</x:v>
      </x:c>
      <x:c r="M72" s="25" t="n">
        <x:v>330</x:v>
      </x:c>
      <x:c r="N72" s="25" t="n">
        <x:v>287</x:v>
      </x:c>
      <x:c r="O72" s="25" t="n">
        <x:v>180</x:v>
      </x:c>
      <x:c r="P72" s="25" t="n">
        <x:f>L72+N72</x:f>
        <x:v>307</x:v>
      </x:c>
      <x:c r="Q72" s="25" t="n">
        <x:f>M72+O72</x:f>
        <x:v>510</x:v>
      </x:c>
      <x:c r="R72" s="25" t="n">
        <x:f>MAX(0,MIN(J72,P72)-MAX(F72,L72))</x:f>
        <x:v>287</x:v>
      </x:c>
      <x:c r="S72" s="25" t="n">
        <x:f>MAX(0,MIN(K72,Q72)-MAX(G72,M72))</x:f>
        <x:v>0</x:v>
      </x:c>
      <x:c r="T72" s="25" t="n">
        <x:f>R72*S72</x:f>
        <x:v>0</x:v>
      </x:c>
      <x:c r="U72" s="24" t="str">
        <x:f>IF(T72&gt;0,"ERREUR chevauchement","OK aucun chevauchement")</x:f>
        <x:v>OK aucun chevauchement</x:v>
      </x:c>
      <x:c r="V72" s="24" t="str">
        <x:v>OK aucun chevauchement</x:v>
      </x:c>
      <x:c r="W72" s="24" t="str">
        <x:v>Si ERREUR : déplacer/redimensionner l’objet B ou créer un bookmark/masquage</x:v>
      </x:c>
    </x:row>
    <x:row r="73">
      <x:c r="A73" s="24" t="str">
        <x:v>Performance</x:v>
      </x:c>
      <x:c r="B73" s="24" t="str">
        <x:v>G00_Header_Global</x:v>
      </x:c>
      <x:c r="C73" s="24" t="str">
        <x:v>Header_Global</x:v>
      </x:c>
      <x:c r="D73" s="24" t="str">
        <x:v>G03_KPI_Row</x:v>
      </x:c>
      <x:c r="E73" s="24" t="str">
        <x:v>KPI_Card_02</x:v>
      </x:c>
      <x:c r="F73" s="25" t="n">
        <x:v>0</x:v>
      </x:c>
      <x:c r="G73" s="25" t="n">
        <x:v>0</x:v>
      </x:c>
      <x:c r="H73" s="25" t="n">
        <x:v>1540</x:v>
      </x:c>
      <x:c r="I73" s="25" t="n">
        <x:v>88</x:v>
      </x:c>
      <x:c r="J73" s="25" t="n">
        <x:f>F73+H73</x:f>
        <x:v>1540</x:v>
      </x:c>
      <x:c r="K73" s="25" t="n">
        <x:f>G73+I73</x:f>
        <x:v>88</x:v>
      </x:c>
      <x:c r="L73" s="25" t="n">
        <x:v>323</x:v>
      </x:c>
      <x:c r="M73" s="25" t="n">
        <x:v>330</x:v>
      </x:c>
      <x:c r="N73" s="25" t="n">
        <x:v>287</x:v>
      </x:c>
      <x:c r="O73" s="25" t="n">
        <x:v>180</x:v>
      </x:c>
      <x:c r="P73" s="25" t="n">
        <x:f>L73+N73</x:f>
        <x:v>610</x:v>
      </x:c>
      <x:c r="Q73" s="25" t="n">
        <x:f>M73+O73</x:f>
        <x:v>510</x:v>
      </x:c>
      <x:c r="R73" s="25" t="n">
        <x:f>MAX(0,MIN(J73,P73)-MAX(F73,L73))</x:f>
        <x:v>287</x:v>
      </x:c>
      <x:c r="S73" s="25" t="n">
        <x:f>MAX(0,MIN(K73,Q73)-MAX(G73,M73))</x:f>
        <x:v>0</x:v>
      </x:c>
      <x:c r="T73" s="25" t="n">
        <x:f>R73*S73</x:f>
        <x:v>0</x:v>
      </x:c>
      <x:c r="U73" s="24" t="str">
        <x:f>IF(T73&gt;0,"ERREUR chevauchement","OK aucun chevauchement")</x:f>
        <x:v>OK aucun chevauchement</x:v>
      </x:c>
      <x:c r="V73" s="24" t="str">
        <x:v>OK aucun chevauchement</x:v>
      </x:c>
      <x:c r="W73" s="24" t="str">
        <x:v>Si ERREUR : déplacer/redimensionner l’objet B ou créer un bookmark/masquage</x:v>
      </x:c>
    </x:row>
    <x:row r="74">
      <x:c r="A74" s="24" t="str">
        <x:v>Performance</x:v>
      </x:c>
      <x:c r="B74" s="24" t="str">
        <x:v>G00_Header_Global</x:v>
      </x:c>
      <x:c r="C74" s="24" t="str">
        <x:v>Header_Global</x:v>
      </x:c>
      <x:c r="D74" s="24" t="str">
        <x:v>G03_KPI_Row</x:v>
      </x:c>
      <x:c r="E74" s="24" t="str">
        <x:v>KPI_Card_03</x:v>
      </x:c>
      <x:c r="F74" s="25" t="n">
        <x:v>0</x:v>
      </x:c>
      <x:c r="G74" s="25" t="n">
        <x:v>0</x:v>
      </x:c>
      <x:c r="H74" s="25" t="n">
        <x:v>1540</x:v>
      </x:c>
      <x:c r="I74" s="25" t="n">
        <x:v>88</x:v>
      </x:c>
      <x:c r="J74" s="25" t="n">
        <x:f>F74+H74</x:f>
        <x:v>1540</x:v>
      </x:c>
      <x:c r="K74" s="25" t="n">
        <x:f>G74+I74</x:f>
        <x:v>88</x:v>
      </x:c>
      <x:c r="L74" s="25" t="n">
        <x:v>626</x:v>
      </x:c>
      <x:c r="M74" s="25" t="n">
        <x:v>330</x:v>
      </x:c>
      <x:c r="N74" s="25" t="n">
        <x:v>287</x:v>
      </x:c>
      <x:c r="O74" s="25" t="n">
        <x:v>180</x:v>
      </x:c>
      <x:c r="P74" s="25" t="n">
        <x:f>L74+N74</x:f>
        <x:v>913</x:v>
      </x:c>
      <x:c r="Q74" s="25" t="n">
        <x:f>M74+O74</x:f>
        <x:v>510</x:v>
      </x:c>
      <x:c r="R74" s="25" t="n">
        <x:f>MAX(0,MIN(J74,P74)-MAX(F74,L74))</x:f>
        <x:v>287</x:v>
      </x:c>
      <x:c r="S74" s="25" t="n">
        <x:f>MAX(0,MIN(K74,Q74)-MAX(G74,M74))</x:f>
        <x:v>0</x:v>
      </x:c>
      <x:c r="T74" s="25" t="n">
        <x:f>R74*S74</x:f>
        <x:v>0</x:v>
      </x:c>
      <x:c r="U74" s="24" t="str">
        <x:f>IF(T74&gt;0,"ERREUR chevauchement","OK aucun chevauchement")</x:f>
        <x:v>OK aucun chevauchement</x:v>
      </x:c>
      <x:c r="V74" s="24" t="str">
        <x:v>OK aucun chevauchement</x:v>
      </x:c>
      <x:c r="W74" s="24" t="str">
        <x:v>Si ERREUR : déplacer/redimensionner l’objet B ou créer un bookmark/masquage</x:v>
      </x:c>
    </x:row>
    <x:row r="75">
      <x:c r="A75" s="24" t="str">
        <x:v>Performance</x:v>
      </x:c>
      <x:c r="B75" s="24" t="str">
        <x:v>G00_Header_Global</x:v>
      </x:c>
      <x:c r="C75" s="24" t="str">
        <x:v>Header_Global</x:v>
      </x:c>
      <x:c r="D75" s="24" t="str">
        <x:v>G03_KPI_Row</x:v>
      </x:c>
      <x:c r="E75" s="24" t="str">
        <x:v>KPI_Card_04</x:v>
      </x:c>
      <x:c r="F75" s="25" t="n">
        <x:v>0</x:v>
      </x:c>
      <x:c r="G75" s="25" t="n">
        <x:v>0</x:v>
      </x:c>
      <x:c r="H75" s="25" t="n">
        <x:v>1540</x:v>
      </x:c>
      <x:c r="I75" s="25" t="n">
        <x:v>88</x:v>
      </x:c>
      <x:c r="J75" s="25" t="n">
        <x:f>F75+H75</x:f>
        <x:v>1540</x:v>
      </x:c>
      <x:c r="K75" s="25" t="n">
        <x:f>G75+I75</x:f>
        <x:v>88</x:v>
      </x:c>
      <x:c r="L75" s="25" t="n">
        <x:v>929</x:v>
      </x:c>
      <x:c r="M75" s="25" t="n">
        <x:v>330</x:v>
      </x:c>
      <x:c r="N75" s="25" t="n">
        <x:v>287</x:v>
      </x:c>
      <x:c r="O75" s="25" t="n">
        <x:v>180</x:v>
      </x:c>
      <x:c r="P75" s="25" t="n">
        <x:f>L75+N75</x:f>
        <x:v>1216</x:v>
      </x:c>
      <x:c r="Q75" s="25" t="n">
        <x:f>M75+O75</x:f>
        <x:v>510</x:v>
      </x:c>
      <x:c r="R75" s="25" t="n">
        <x:f>MAX(0,MIN(J75,P75)-MAX(F75,L75))</x:f>
        <x:v>287</x:v>
      </x:c>
      <x:c r="S75" s="25" t="n">
        <x:f>MAX(0,MIN(K75,Q75)-MAX(G75,M75))</x:f>
        <x:v>0</x:v>
      </x:c>
      <x:c r="T75" s="25" t="n">
        <x:f>R75*S75</x:f>
        <x:v>0</x:v>
      </x:c>
      <x:c r="U75" s="24" t="str">
        <x:f>IF(T75&gt;0,"ERREUR chevauchement","OK aucun chevauchement")</x:f>
        <x:v>OK aucun chevauchement</x:v>
      </x:c>
      <x:c r="V75" s="24" t="str">
        <x:v>OK aucun chevauchement</x:v>
      </x:c>
      <x:c r="W75" s="24" t="str">
        <x:v>Si ERREUR : déplacer/redimensionner l’objet B ou créer un bookmark/masquage</x:v>
      </x:c>
    </x:row>
    <x:row r="76">
      <x:c r="A76" s="24" t="str">
        <x:v>Performance</x:v>
      </x:c>
      <x:c r="B76" s="24" t="str">
        <x:v>G00_Header_Global</x:v>
      </x:c>
      <x:c r="C76" s="24" t="str">
        <x:v>Header_Global</x:v>
      </x:c>
      <x:c r="D76" s="24" t="str">
        <x:v>G03_KPI_Row</x:v>
      </x:c>
      <x:c r="E76" s="24" t="str">
        <x:v>KPI_Card_05</x:v>
      </x:c>
      <x:c r="F76" s="25" t="n">
        <x:v>0</x:v>
      </x:c>
      <x:c r="G76" s="25" t="n">
        <x:v>0</x:v>
      </x:c>
      <x:c r="H76" s="25" t="n">
        <x:v>1540</x:v>
      </x:c>
      <x:c r="I76" s="25" t="n">
        <x:v>88</x:v>
      </x:c>
      <x:c r="J76" s="25" t="n">
        <x:f>F76+H76</x:f>
        <x:v>1540</x:v>
      </x:c>
      <x:c r="K76" s="25" t="n">
        <x:f>G76+I76</x:f>
        <x:v>88</x:v>
      </x:c>
      <x:c r="L76" s="25" t="n">
        <x:v>1232</x:v>
      </x:c>
      <x:c r="M76" s="25" t="n">
        <x:v>330</x:v>
      </x:c>
      <x:c r="N76" s="25" t="n">
        <x:v>287</x:v>
      </x:c>
      <x:c r="O76" s="25" t="n">
        <x:v>180</x:v>
      </x:c>
      <x:c r="P76" s="25" t="n">
        <x:f>L76+N76</x:f>
        <x:v>1519</x:v>
      </x:c>
      <x:c r="Q76" s="25" t="n">
        <x:f>M76+O76</x:f>
        <x:v>510</x:v>
      </x:c>
      <x:c r="R76" s="25" t="n">
        <x:f>MAX(0,MIN(J76,P76)-MAX(F76,L76))</x:f>
        <x:v>287</x:v>
      </x:c>
      <x:c r="S76" s="25" t="n">
        <x:f>MAX(0,MIN(K76,Q76)-MAX(G76,M76))</x:f>
        <x:v>0</x:v>
      </x:c>
      <x:c r="T76" s="25" t="n">
        <x:f>R76*S76</x:f>
        <x:v>0</x:v>
      </x:c>
      <x:c r="U76" s="24" t="str">
        <x:f>IF(T76&gt;0,"ERREUR chevauchement","OK aucun chevauchement")</x:f>
        <x:v>OK aucun chevauchement</x:v>
      </x:c>
      <x:c r="V76" s="24" t="str">
        <x:v>OK aucun chevauchement</x:v>
      </x:c>
      <x:c r="W76" s="24" t="str">
        <x:v>Si ERREUR : déplacer/redimensionner l’objet B ou créer un bookmark/masquage</x:v>
      </x:c>
    </x:row>
    <x:row r="77">
      <x:c r="A77" s="24" t="str">
        <x:v>Performance</x:v>
      </x:c>
      <x:c r="B77" s="24" t="str">
        <x:v>G00_Header_Global</x:v>
      </x:c>
      <x:c r="C77" s="24" t="str">
        <x:v>Header_Global</x:v>
      </x:c>
      <x:c r="D77" s="24" t="str">
        <x:v>G04_Charts_Row</x:v>
      </x:c>
      <x:c r="E77" s="24" t="str">
        <x:v>Line_Affaires</x:v>
      </x:c>
      <x:c r="F77" s="25" t="n">
        <x:v>0</x:v>
      </x:c>
      <x:c r="G77" s="25" t="n">
        <x:v>0</x:v>
      </x:c>
      <x:c r="H77" s="25" t="n">
        <x:v>1540</x:v>
      </x:c>
      <x:c r="I77" s="25" t="n">
        <x:v>88</x:v>
      </x:c>
      <x:c r="J77" s="25" t="n">
        <x:f>F77+H77</x:f>
        <x:v>1540</x:v>
      </x:c>
      <x:c r="K77" s="25" t="n">
        <x:f>G77+I77</x:f>
        <x:v>88</x:v>
      </x:c>
      <x:c r="L77" s="25" t="n">
        <x:v>20</x:v>
      </x:c>
      <x:c r="M77" s="25" t="n">
        <x:v>535</x:v>
      </x:c>
      <x:c r="N77" s="25" t="n">
        <x:v>490</x:v>
      </x:c>
      <x:c r="O77" s="25" t="n">
        <x:v>380</x:v>
      </x:c>
      <x:c r="P77" s="25" t="n">
        <x:f>L77+N77</x:f>
        <x:v>510</x:v>
      </x:c>
      <x:c r="Q77" s="25" t="n">
        <x:f>M77+O77</x:f>
        <x:v>915</x:v>
      </x:c>
      <x:c r="R77" s="25" t="n">
        <x:f>MAX(0,MIN(J77,P77)-MAX(F77,L77))</x:f>
        <x:v>490</x:v>
      </x:c>
      <x:c r="S77" s="25" t="n">
        <x:f>MAX(0,MIN(K77,Q77)-MAX(G77,M77))</x:f>
        <x:v>0</x:v>
      </x:c>
      <x:c r="T77" s="25" t="n">
        <x:f>R77*S77</x:f>
        <x:v>0</x:v>
      </x:c>
      <x:c r="U77" s="24" t="str">
        <x:f>IF(T77&gt;0,"ERREUR chevauchement","OK aucun chevauchement")</x:f>
        <x:v>OK aucun chevauchement</x:v>
      </x:c>
      <x:c r="V77" s="24" t="str">
        <x:v>OK aucun chevauchement</x:v>
      </x:c>
      <x:c r="W77" s="24" t="str">
        <x:v>Si ERREUR : déplacer/redimensionner l’objet B ou créer un bookmark/masquage</x:v>
      </x:c>
    </x:row>
    <x:row r="78">
      <x:c r="A78" s="24" t="str">
        <x:v>Performance</x:v>
      </x:c>
      <x:c r="B78" s="24" t="str">
        <x:v>G00_Header_Global</x:v>
      </x:c>
      <x:c r="C78" s="24" t="str">
        <x:v>Header_Global</x:v>
      </x:c>
      <x:c r="D78" s="24" t="str">
        <x:v>G04_Charts_Row</x:v>
      </x:c>
      <x:c r="E78" s="24" t="str">
        <x:v>Bar_Performance</x:v>
      </x:c>
      <x:c r="F78" s="25" t="n">
        <x:v>0</x:v>
      </x:c>
      <x:c r="G78" s="25" t="n">
        <x:v>0</x:v>
      </x:c>
      <x:c r="H78" s="25" t="n">
        <x:v>1540</x:v>
      </x:c>
      <x:c r="I78" s="25" t="n">
        <x:v>88</x:v>
      </x:c>
      <x:c r="J78" s="25" t="n">
        <x:f>F78+H78</x:f>
        <x:v>1540</x:v>
      </x:c>
      <x:c r="K78" s="25" t="n">
        <x:f>G78+I78</x:f>
        <x:v>88</x:v>
      </x:c>
      <x:c r="L78" s="25" t="n">
        <x:v>526</x:v>
      </x:c>
      <x:c r="M78" s="25" t="n">
        <x:v>535</x:v>
      </x:c>
      <x:c r="N78" s="25" t="n">
        <x:v>490</x:v>
      </x:c>
      <x:c r="O78" s="25" t="n">
        <x:v>380</x:v>
      </x:c>
      <x:c r="P78" s="25" t="n">
        <x:f>L78+N78</x:f>
        <x:v>1016</x:v>
      </x:c>
      <x:c r="Q78" s="25" t="n">
        <x:f>M78+O78</x:f>
        <x:v>915</x:v>
      </x:c>
      <x:c r="R78" s="25" t="n">
        <x:f>MAX(0,MIN(J78,P78)-MAX(F78,L78))</x:f>
        <x:v>490</x:v>
      </x:c>
      <x:c r="S78" s="25" t="n">
        <x:f>MAX(0,MIN(K78,Q78)-MAX(G78,M78))</x:f>
        <x:v>0</x:v>
      </x:c>
      <x:c r="T78" s="25" t="n">
        <x:f>R78*S78</x:f>
        <x:v>0</x:v>
      </x:c>
      <x:c r="U78" s="24" t="str">
        <x:f>IF(T78&gt;0,"ERREUR chevauchement","OK aucun chevauchement")</x:f>
        <x:v>OK aucun chevauchement</x:v>
      </x:c>
      <x:c r="V78" s="24" t="str">
        <x:v>OK aucun chevauchement</x:v>
      </x:c>
      <x:c r="W78" s="24" t="str">
        <x:v>Si ERREUR : déplacer/redimensionner l’objet B ou créer un bookmark/masquage</x:v>
      </x:c>
    </x:row>
    <x:row r="79">
      <x:c r="A79" s="24" t="str">
        <x:v>Performance</x:v>
      </x:c>
      <x:c r="B79" s="24" t="str">
        <x:v>G00_Header_Global</x:v>
      </x:c>
      <x:c r="C79" s="24" t="str">
        <x:v>Header_Global</x:v>
      </x:c>
      <x:c r="D79" s="24" t="str">
        <x:v>G04_Charts_Row</x:v>
      </x:c>
      <x:c r="E79" s="24" t="str">
        <x:v>Bar_Repartition</x:v>
      </x:c>
      <x:c r="F79" s="25" t="n">
        <x:v>0</x:v>
      </x:c>
      <x:c r="G79" s="25" t="n">
        <x:v>0</x:v>
      </x:c>
      <x:c r="H79" s="25" t="n">
        <x:v>1540</x:v>
      </x:c>
      <x:c r="I79" s="25" t="n">
        <x:v>88</x:v>
      </x:c>
      <x:c r="J79" s="25" t="n">
        <x:f>F79+H79</x:f>
        <x:v>1540</x:v>
      </x:c>
      <x:c r="K79" s="25" t="n">
        <x:f>G79+I79</x:f>
        <x:v>88</x:v>
      </x:c>
      <x:c r="L79" s="25" t="n">
        <x:v>1032</x:v>
      </x:c>
      <x:c r="M79" s="25" t="n">
        <x:v>535</x:v>
      </x:c>
      <x:c r="N79" s="25" t="n">
        <x:v>488</x:v>
      </x:c>
      <x:c r="O79" s="25" t="n">
        <x:v>380</x:v>
      </x:c>
      <x:c r="P79" s="25" t="n">
        <x:f>L79+N79</x:f>
        <x:v>1520</x:v>
      </x:c>
      <x:c r="Q79" s="25" t="n">
        <x:f>M79+O79</x:f>
        <x:v>915</x:v>
      </x:c>
      <x:c r="R79" s="25" t="n">
        <x:f>MAX(0,MIN(J79,P79)-MAX(F79,L79))</x:f>
        <x:v>488</x:v>
      </x:c>
      <x:c r="S79" s="25" t="n">
        <x:f>MAX(0,MIN(K79,Q79)-MAX(G79,M79))</x:f>
        <x:v>0</x:v>
      </x:c>
      <x:c r="T79" s="25" t="n">
        <x:f>R79*S79</x:f>
        <x:v>0</x:v>
      </x:c>
      <x:c r="U79" s="24" t="str">
        <x:f>IF(T79&gt;0,"ERREUR chevauchement","OK aucun chevauchement")</x:f>
        <x:v>OK aucun chevauchement</x:v>
      </x:c>
      <x:c r="V79" s="24" t="str">
        <x:v>OK aucun chevauchement</x:v>
      </x:c>
      <x:c r="W79" s="24" t="str">
        <x:v>Si ERREUR : déplacer/redimensionner l’objet B ou créer un bookmark/masquage</x:v>
      </x:c>
    </x:row>
    <x:row r="80">
      <x:c r="A80" s="24" t="str">
        <x:v>Performance</x:v>
      </x:c>
      <x:c r="B80" s="24" t="str">
        <x:v>G01_Title_Zone</x:v>
      </x:c>
      <x:c r="C80" s="24" t="str">
        <x:v>Title_Zone</x:v>
      </x:c>
      <x:c r="D80" s="24" t="str">
        <x:v>G02_Toolbar</x:v>
      </x:c>
      <x:c r="E80" s="24" t="str">
        <x:v>Toolbar_Slicers_FieldParams</x:v>
      </x:c>
      <x:c r="F80" s="25" t="n">
        <x:v>20</x:v>
      </x:c>
      <x:c r="G80" s="25" t="n">
        <x:v>110</x:v>
      </x:c>
      <x:c r="H80" s="25" t="n">
        <x:v>1500</x:v>
      </x:c>
      <x:c r="I80" s="25" t="n">
        <x:v>132</x:v>
      </x:c>
      <x:c r="J80" s="25" t="n">
        <x:f>F80+H80</x:f>
        <x:v>1520</x:v>
      </x:c>
      <x:c r="K80" s="25" t="n">
        <x:f>G80+I80</x:f>
        <x:v>242</x:v>
      </x:c>
      <x:c r="L80" s="25" t="n">
        <x:v>20</x:v>
      </x:c>
      <x:c r="M80" s="25" t="n">
        <x:v>260</x:v>
      </x:c>
      <x:c r="N80" s="25" t="n">
        <x:v>1500</x:v>
      </x:c>
      <x:c r="O80" s="25" t="n">
        <x:v>56</x:v>
      </x:c>
      <x:c r="P80" s="25" t="n">
        <x:f>L80+N80</x:f>
        <x:v>1520</x:v>
      </x:c>
      <x:c r="Q80" s="25" t="n">
        <x:f>M80+O80</x:f>
        <x:v>316</x:v>
      </x:c>
      <x:c r="R80" s="25" t="n">
        <x:f>MAX(0,MIN(J80,P80)-MAX(F80,L80))</x:f>
        <x:v>1500</x:v>
      </x:c>
      <x:c r="S80" s="25" t="n">
        <x:f>MAX(0,MIN(K80,Q80)-MAX(G80,M80))</x:f>
        <x:v>0</x:v>
      </x:c>
      <x:c r="T80" s="25" t="n">
        <x:f>R80*S80</x:f>
        <x:v>0</x:v>
      </x:c>
      <x:c r="U80" s="24" t="str">
        <x:f>IF(T80&gt;0,"ERREUR chevauchement","OK aucun chevauchement")</x:f>
        <x:v>OK aucun chevauchement</x:v>
      </x:c>
      <x:c r="V80" s="24" t="str">
        <x:v>OK aucun chevauchement</x:v>
      </x:c>
      <x:c r="W80" s="24" t="str">
        <x:v>Si ERREUR : déplacer/redimensionner l’objet B ou créer un bookmark/masquage</x:v>
      </x:c>
    </x:row>
    <x:row r="81">
      <x:c r="A81" s="24" t="str">
        <x:v>Performance</x:v>
      </x:c>
      <x:c r="B81" s="24" t="str">
        <x:v>G01_Title_Zone</x:v>
      </x:c>
      <x:c r="C81" s="24" t="str">
        <x:v>Title_Zone</x:v>
      </x:c>
      <x:c r="D81" s="24" t="str">
        <x:v>G03_KPI_Row</x:v>
      </x:c>
      <x:c r="E81" s="24" t="str">
        <x:v>KPI_Card_01</x:v>
      </x:c>
      <x:c r="F81" s="25" t="n">
        <x:v>20</x:v>
      </x:c>
      <x:c r="G81" s="25" t="n">
        <x:v>110</x:v>
      </x:c>
      <x:c r="H81" s="25" t="n">
        <x:v>1500</x:v>
      </x:c>
      <x:c r="I81" s="25" t="n">
        <x:v>132</x:v>
      </x:c>
      <x:c r="J81" s="25" t="n">
        <x:f>F81+H81</x:f>
        <x:v>1520</x:v>
      </x:c>
      <x:c r="K81" s="25" t="n">
        <x:f>G81+I81</x:f>
        <x:v>242</x:v>
      </x:c>
      <x:c r="L81" s="25" t="n">
        <x:v>20</x:v>
      </x:c>
      <x:c r="M81" s="25" t="n">
        <x:v>330</x:v>
      </x:c>
      <x:c r="N81" s="25" t="n">
        <x:v>287</x:v>
      </x:c>
      <x:c r="O81" s="25" t="n">
        <x:v>180</x:v>
      </x:c>
      <x:c r="P81" s="25" t="n">
        <x:f>L81+N81</x:f>
        <x:v>307</x:v>
      </x:c>
      <x:c r="Q81" s="25" t="n">
        <x:f>M81+O81</x:f>
        <x:v>510</x:v>
      </x:c>
      <x:c r="R81" s="25" t="n">
        <x:f>MAX(0,MIN(J81,P81)-MAX(F81,L81))</x:f>
        <x:v>287</x:v>
      </x:c>
      <x:c r="S81" s="25" t="n">
        <x:f>MAX(0,MIN(K81,Q81)-MAX(G81,M81))</x:f>
        <x:v>0</x:v>
      </x:c>
      <x:c r="T81" s="25" t="n">
        <x:f>R81*S81</x:f>
        <x:v>0</x:v>
      </x:c>
      <x:c r="U81" s="24" t="str">
        <x:f>IF(T81&gt;0,"ERREUR chevauchement","OK aucun chevauchement")</x:f>
        <x:v>OK aucun chevauchement</x:v>
      </x:c>
      <x:c r="V81" s="24" t="str">
        <x:v>OK aucun chevauchement</x:v>
      </x:c>
      <x:c r="W81" s="24" t="str">
        <x:v>Si ERREUR : déplacer/redimensionner l’objet B ou créer un bookmark/masquage</x:v>
      </x:c>
    </x:row>
    <x:row r="82">
      <x:c r="A82" s="24" t="str">
        <x:v>Performance</x:v>
      </x:c>
      <x:c r="B82" s="24" t="str">
        <x:v>G01_Title_Zone</x:v>
      </x:c>
      <x:c r="C82" s="24" t="str">
        <x:v>Title_Zone</x:v>
      </x:c>
      <x:c r="D82" s="24" t="str">
        <x:v>G03_KPI_Row</x:v>
      </x:c>
      <x:c r="E82" s="24" t="str">
        <x:v>KPI_Card_02</x:v>
      </x:c>
      <x:c r="F82" s="25" t="n">
        <x:v>20</x:v>
      </x:c>
      <x:c r="G82" s="25" t="n">
        <x:v>110</x:v>
      </x:c>
      <x:c r="H82" s="25" t="n">
        <x:v>1500</x:v>
      </x:c>
      <x:c r="I82" s="25" t="n">
        <x:v>132</x:v>
      </x:c>
      <x:c r="J82" s="25" t="n">
        <x:f>F82+H82</x:f>
        <x:v>1520</x:v>
      </x:c>
      <x:c r="K82" s="25" t="n">
        <x:f>G82+I82</x:f>
        <x:v>242</x:v>
      </x:c>
      <x:c r="L82" s="25" t="n">
        <x:v>323</x:v>
      </x:c>
      <x:c r="M82" s="25" t="n">
        <x:v>330</x:v>
      </x:c>
      <x:c r="N82" s="25" t="n">
        <x:v>287</x:v>
      </x:c>
      <x:c r="O82" s="25" t="n">
        <x:v>180</x:v>
      </x:c>
      <x:c r="P82" s="25" t="n">
        <x:f>L82+N82</x:f>
        <x:v>610</x:v>
      </x:c>
      <x:c r="Q82" s="25" t="n">
        <x:f>M82+O82</x:f>
        <x:v>510</x:v>
      </x:c>
      <x:c r="R82" s="25" t="n">
        <x:f>MAX(0,MIN(J82,P82)-MAX(F82,L82))</x:f>
        <x:v>287</x:v>
      </x:c>
      <x:c r="S82" s="25" t="n">
        <x:f>MAX(0,MIN(K82,Q82)-MAX(G82,M82))</x:f>
        <x:v>0</x:v>
      </x:c>
      <x:c r="T82" s="25" t="n">
        <x:f>R82*S82</x:f>
        <x:v>0</x:v>
      </x:c>
      <x:c r="U82" s="24" t="str">
        <x:f>IF(T82&gt;0,"ERREUR chevauchement","OK aucun chevauchement")</x:f>
        <x:v>OK aucun chevauchement</x:v>
      </x:c>
      <x:c r="V82" s="24" t="str">
        <x:v>OK aucun chevauchement</x:v>
      </x:c>
      <x:c r="W82" s="24" t="str">
        <x:v>Si ERREUR : déplacer/redimensionner l’objet B ou créer un bookmark/masquage</x:v>
      </x:c>
    </x:row>
    <x:row r="83">
      <x:c r="A83" s="24" t="str">
        <x:v>Performance</x:v>
      </x:c>
      <x:c r="B83" s="24" t="str">
        <x:v>G01_Title_Zone</x:v>
      </x:c>
      <x:c r="C83" s="24" t="str">
        <x:v>Title_Zone</x:v>
      </x:c>
      <x:c r="D83" s="24" t="str">
        <x:v>G03_KPI_Row</x:v>
      </x:c>
      <x:c r="E83" s="24" t="str">
        <x:v>KPI_Card_03</x:v>
      </x:c>
      <x:c r="F83" s="25" t="n">
        <x:v>20</x:v>
      </x:c>
      <x:c r="G83" s="25" t="n">
        <x:v>110</x:v>
      </x:c>
      <x:c r="H83" s="25" t="n">
        <x:v>1500</x:v>
      </x:c>
      <x:c r="I83" s="25" t="n">
        <x:v>132</x:v>
      </x:c>
      <x:c r="J83" s="25" t="n">
        <x:f>F83+H83</x:f>
        <x:v>1520</x:v>
      </x:c>
      <x:c r="K83" s="25" t="n">
        <x:f>G83+I83</x:f>
        <x:v>242</x:v>
      </x:c>
      <x:c r="L83" s="25" t="n">
        <x:v>626</x:v>
      </x:c>
      <x:c r="M83" s="25" t="n">
        <x:v>330</x:v>
      </x:c>
      <x:c r="N83" s="25" t="n">
        <x:v>287</x:v>
      </x:c>
      <x:c r="O83" s="25" t="n">
        <x:v>180</x:v>
      </x:c>
      <x:c r="P83" s="25" t="n">
        <x:f>L83+N83</x:f>
        <x:v>913</x:v>
      </x:c>
      <x:c r="Q83" s="25" t="n">
        <x:f>M83+O83</x:f>
        <x:v>510</x:v>
      </x:c>
      <x:c r="R83" s="25" t="n">
        <x:f>MAX(0,MIN(J83,P83)-MAX(F83,L83))</x:f>
        <x:v>287</x:v>
      </x:c>
      <x:c r="S83" s="25" t="n">
        <x:f>MAX(0,MIN(K83,Q83)-MAX(G83,M83))</x:f>
        <x:v>0</x:v>
      </x:c>
      <x:c r="T83" s="25" t="n">
        <x:f>R83*S83</x:f>
        <x:v>0</x:v>
      </x:c>
      <x:c r="U83" s="24" t="str">
        <x:f>IF(T83&gt;0,"ERREUR chevauchement","OK aucun chevauchement")</x:f>
        <x:v>OK aucun chevauchement</x:v>
      </x:c>
      <x:c r="V83" s="24" t="str">
        <x:v>OK aucun chevauchement</x:v>
      </x:c>
      <x:c r="W83" s="24" t="str">
        <x:v>Si ERREUR : déplacer/redimensionner l’objet B ou créer un bookmark/masquage</x:v>
      </x:c>
    </x:row>
    <x:row r="84">
      <x:c r="A84" s="24" t="str">
        <x:v>Performance</x:v>
      </x:c>
      <x:c r="B84" s="24" t="str">
        <x:v>G01_Title_Zone</x:v>
      </x:c>
      <x:c r="C84" s="24" t="str">
        <x:v>Title_Zone</x:v>
      </x:c>
      <x:c r="D84" s="24" t="str">
        <x:v>G03_KPI_Row</x:v>
      </x:c>
      <x:c r="E84" s="24" t="str">
        <x:v>KPI_Card_04</x:v>
      </x:c>
      <x:c r="F84" s="25" t="n">
        <x:v>20</x:v>
      </x:c>
      <x:c r="G84" s="25" t="n">
        <x:v>110</x:v>
      </x:c>
      <x:c r="H84" s="25" t="n">
        <x:v>1500</x:v>
      </x:c>
      <x:c r="I84" s="25" t="n">
        <x:v>132</x:v>
      </x:c>
      <x:c r="J84" s="25" t="n">
        <x:f>F84+H84</x:f>
        <x:v>1520</x:v>
      </x:c>
      <x:c r="K84" s="25" t="n">
        <x:f>G84+I84</x:f>
        <x:v>242</x:v>
      </x:c>
      <x:c r="L84" s="25" t="n">
        <x:v>929</x:v>
      </x:c>
      <x:c r="M84" s="25" t="n">
        <x:v>330</x:v>
      </x:c>
      <x:c r="N84" s="25" t="n">
        <x:v>287</x:v>
      </x:c>
      <x:c r="O84" s="25" t="n">
        <x:v>180</x:v>
      </x:c>
      <x:c r="P84" s="25" t="n">
        <x:f>L84+N84</x:f>
        <x:v>1216</x:v>
      </x:c>
      <x:c r="Q84" s="25" t="n">
        <x:f>M84+O84</x:f>
        <x:v>510</x:v>
      </x:c>
      <x:c r="R84" s="25" t="n">
        <x:f>MAX(0,MIN(J84,P84)-MAX(F84,L84))</x:f>
        <x:v>287</x:v>
      </x:c>
      <x:c r="S84" s="25" t="n">
        <x:f>MAX(0,MIN(K84,Q84)-MAX(G84,M84))</x:f>
        <x:v>0</x:v>
      </x:c>
      <x:c r="T84" s="25" t="n">
        <x:f>R84*S84</x:f>
        <x:v>0</x:v>
      </x:c>
      <x:c r="U84" s="24" t="str">
        <x:f>IF(T84&gt;0,"ERREUR chevauchement","OK aucun chevauchement")</x:f>
        <x:v>OK aucun chevauchement</x:v>
      </x:c>
      <x:c r="V84" s="24" t="str">
        <x:v>OK aucun chevauchement</x:v>
      </x:c>
      <x:c r="W84" s="24" t="str">
        <x:v>Si ERREUR : déplacer/redimensionner l’objet B ou créer un bookmark/masquage</x:v>
      </x:c>
    </x:row>
    <x:row r="85">
      <x:c r="A85" s="24" t="str">
        <x:v>Performance</x:v>
      </x:c>
      <x:c r="B85" s="24" t="str">
        <x:v>G01_Title_Zone</x:v>
      </x:c>
      <x:c r="C85" s="24" t="str">
        <x:v>Title_Zone</x:v>
      </x:c>
      <x:c r="D85" s="24" t="str">
        <x:v>G03_KPI_Row</x:v>
      </x:c>
      <x:c r="E85" s="24" t="str">
        <x:v>KPI_Card_05</x:v>
      </x:c>
      <x:c r="F85" s="25" t="n">
        <x:v>20</x:v>
      </x:c>
      <x:c r="G85" s="25" t="n">
        <x:v>110</x:v>
      </x:c>
      <x:c r="H85" s="25" t="n">
        <x:v>1500</x:v>
      </x:c>
      <x:c r="I85" s="25" t="n">
        <x:v>132</x:v>
      </x:c>
      <x:c r="J85" s="25" t="n">
        <x:f>F85+H85</x:f>
        <x:v>1520</x:v>
      </x:c>
      <x:c r="K85" s="25" t="n">
        <x:f>G85+I85</x:f>
        <x:v>242</x:v>
      </x:c>
      <x:c r="L85" s="25" t="n">
        <x:v>1232</x:v>
      </x:c>
      <x:c r="M85" s="25" t="n">
        <x:v>330</x:v>
      </x:c>
      <x:c r="N85" s="25" t="n">
        <x:v>287</x:v>
      </x:c>
      <x:c r="O85" s="25" t="n">
        <x:v>180</x:v>
      </x:c>
      <x:c r="P85" s="25" t="n">
        <x:f>L85+N85</x:f>
        <x:v>1519</x:v>
      </x:c>
      <x:c r="Q85" s="25" t="n">
        <x:f>M85+O85</x:f>
        <x:v>510</x:v>
      </x:c>
      <x:c r="R85" s="25" t="n">
        <x:f>MAX(0,MIN(J85,P85)-MAX(F85,L85))</x:f>
        <x:v>287</x:v>
      </x:c>
      <x:c r="S85" s="25" t="n">
        <x:f>MAX(0,MIN(K85,Q85)-MAX(G85,M85))</x:f>
        <x:v>0</x:v>
      </x:c>
      <x:c r="T85" s="25" t="n">
        <x:f>R85*S85</x:f>
        <x:v>0</x:v>
      </x:c>
      <x:c r="U85" s="24" t="str">
        <x:f>IF(T85&gt;0,"ERREUR chevauchement","OK aucun chevauchement")</x:f>
        <x:v>OK aucun chevauchement</x:v>
      </x:c>
      <x:c r="V85" s="24" t="str">
        <x:v>OK aucun chevauchement</x:v>
      </x:c>
      <x:c r="W85" s="24" t="str">
        <x:v>Si ERREUR : déplacer/redimensionner l’objet B ou créer un bookmark/masquage</x:v>
      </x:c>
    </x:row>
    <x:row r="86">
      <x:c r="A86" s="24" t="str">
        <x:v>Performance</x:v>
      </x:c>
      <x:c r="B86" s="24" t="str">
        <x:v>G01_Title_Zone</x:v>
      </x:c>
      <x:c r="C86" s="24" t="str">
        <x:v>Title_Zone</x:v>
      </x:c>
      <x:c r="D86" s="24" t="str">
        <x:v>G04_Charts_Row</x:v>
      </x:c>
      <x:c r="E86" s="24" t="str">
        <x:v>Line_Affaires</x:v>
      </x:c>
      <x:c r="F86" s="25" t="n">
        <x:v>20</x:v>
      </x:c>
      <x:c r="G86" s="25" t="n">
        <x:v>110</x:v>
      </x:c>
      <x:c r="H86" s="25" t="n">
        <x:v>1500</x:v>
      </x:c>
      <x:c r="I86" s="25" t="n">
        <x:v>132</x:v>
      </x:c>
      <x:c r="J86" s="25" t="n">
        <x:f>F86+H86</x:f>
        <x:v>1520</x:v>
      </x:c>
      <x:c r="K86" s="25" t="n">
        <x:f>G86+I86</x:f>
        <x:v>242</x:v>
      </x:c>
      <x:c r="L86" s="25" t="n">
        <x:v>20</x:v>
      </x:c>
      <x:c r="M86" s="25" t="n">
        <x:v>535</x:v>
      </x:c>
      <x:c r="N86" s="25" t="n">
        <x:v>490</x:v>
      </x:c>
      <x:c r="O86" s="25" t="n">
        <x:v>380</x:v>
      </x:c>
      <x:c r="P86" s="25" t="n">
        <x:f>L86+N86</x:f>
        <x:v>510</x:v>
      </x:c>
      <x:c r="Q86" s="25" t="n">
        <x:f>M86+O86</x:f>
        <x:v>915</x:v>
      </x:c>
      <x:c r="R86" s="25" t="n">
        <x:f>MAX(0,MIN(J86,P86)-MAX(F86,L86))</x:f>
        <x:v>490</x:v>
      </x:c>
      <x:c r="S86" s="25" t="n">
        <x:f>MAX(0,MIN(K86,Q86)-MAX(G86,M86))</x:f>
        <x:v>0</x:v>
      </x:c>
      <x:c r="T86" s="25" t="n">
        <x:f>R86*S86</x:f>
        <x:v>0</x:v>
      </x:c>
      <x:c r="U86" s="24" t="str">
        <x:f>IF(T86&gt;0,"ERREUR chevauchement","OK aucun chevauchement")</x:f>
        <x:v>OK aucun chevauchement</x:v>
      </x:c>
      <x:c r="V86" s="24" t="str">
        <x:v>OK aucun chevauchement</x:v>
      </x:c>
      <x:c r="W86" s="24" t="str">
        <x:v>Si ERREUR : déplacer/redimensionner l’objet B ou créer un bookmark/masquage</x:v>
      </x:c>
    </x:row>
    <x:row r="87">
      <x:c r="A87" s="24" t="str">
        <x:v>Performance</x:v>
      </x:c>
      <x:c r="B87" s="24" t="str">
        <x:v>G01_Title_Zone</x:v>
      </x:c>
      <x:c r="C87" s="24" t="str">
        <x:v>Title_Zone</x:v>
      </x:c>
      <x:c r="D87" s="24" t="str">
        <x:v>G04_Charts_Row</x:v>
      </x:c>
      <x:c r="E87" s="24" t="str">
        <x:v>Bar_Performance</x:v>
      </x:c>
      <x:c r="F87" s="25" t="n">
        <x:v>20</x:v>
      </x:c>
      <x:c r="G87" s="25" t="n">
        <x:v>110</x:v>
      </x:c>
      <x:c r="H87" s="25" t="n">
        <x:v>1500</x:v>
      </x:c>
      <x:c r="I87" s="25" t="n">
        <x:v>132</x:v>
      </x:c>
      <x:c r="J87" s="25" t="n">
        <x:f>F87+H87</x:f>
        <x:v>1520</x:v>
      </x:c>
      <x:c r="K87" s="25" t="n">
        <x:f>G87+I87</x:f>
        <x:v>242</x:v>
      </x:c>
      <x:c r="L87" s="25" t="n">
        <x:v>526</x:v>
      </x:c>
      <x:c r="M87" s="25" t="n">
        <x:v>535</x:v>
      </x:c>
      <x:c r="N87" s="25" t="n">
        <x:v>490</x:v>
      </x:c>
      <x:c r="O87" s="25" t="n">
        <x:v>380</x:v>
      </x:c>
      <x:c r="P87" s="25" t="n">
        <x:f>L87+N87</x:f>
        <x:v>1016</x:v>
      </x:c>
      <x:c r="Q87" s="25" t="n">
        <x:f>M87+O87</x:f>
        <x:v>915</x:v>
      </x:c>
      <x:c r="R87" s="25" t="n">
        <x:f>MAX(0,MIN(J87,P87)-MAX(F87,L87))</x:f>
        <x:v>490</x:v>
      </x:c>
      <x:c r="S87" s="25" t="n">
        <x:f>MAX(0,MIN(K87,Q87)-MAX(G87,M87))</x:f>
        <x:v>0</x:v>
      </x:c>
      <x:c r="T87" s="25" t="n">
        <x:f>R87*S87</x:f>
        <x:v>0</x:v>
      </x:c>
      <x:c r="U87" s="24" t="str">
        <x:f>IF(T87&gt;0,"ERREUR chevauchement","OK aucun chevauchement")</x:f>
        <x:v>OK aucun chevauchement</x:v>
      </x:c>
      <x:c r="V87" s="24" t="str">
        <x:v>OK aucun chevauchement</x:v>
      </x:c>
      <x:c r="W87" s="24" t="str">
        <x:v>Si ERREUR : déplacer/redimensionner l’objet B ou créer un bookmark/masquage</x:v>
      </x:c>
    </x:row>
    <x:row r="88">
      <x:c r="A88" s="24" t="str">
        <x:v>Performance</x:v>
      </x:c>
      <x:c r="B88" s="24" t="str">
        <x:v>G01_Title_Zone</x:v>
      </x:c>
      <x:c r="C88" s="24" t="str">
        <x:v>Title_Zone</x:v>
      </x:c>
      <x:c r="D88" s="24" t="str">
        <x:v>G04_Charts_Row</x:v>
      </x:c>
      <x:c r="E88" s="24" t="str">
        <x:v>Bar_Repartition</x:v>
      </x:c>
      <x:c r="F88" s="25" t="n">
        <x:v>20</x:v>
      </x:c>
      <x:c r="G88" s="25" t="n">
        <x:v>110</x:v>
      </x:c>
      <x:c r="H88" s="25" t="n">
        <x:v>1500</x:v>
      </x:c>
      <x:c r="I88" s="25" t="n">
        <x:v>132</x:v>
      </x:c>
      <x:c r="J88" s="25" t="n">
        <x:f>F88+H88</x:f>
        <x:v>1520</x:v>
      </x:c>
      <x:c r="K88" s="25" t="n">
        <x:f>G88+I88</x:f>
        <x:v>242</x:v>
      </x:c>
      <x:c r="L88" s="25" t="n">
        <x:v>1032</x:v>
      </x:c>
      <x:c r="M88" s="25" t="n">
        <x:v>535</x:v>
      </x:c>
      <x:c r="N88" s="25" t="n">
        <x:v>488</x:v>
      </x:c>
      <x:c r="O88" s="25" t="n">
        <x:v>380</x:v>
      </x:c>
      <x:c r="P88" s="25" t="n">
        <x:f>L88+N88</x:f>
        <x:v>1520</x:v>
      </x:c>
      <x:c r="Q88" s="25" t="n">
        <x:f>M88+O88</x:f>
        <x:v>915</x:v>
      </x:c>
      <x:c r="R88" s="25" t="n">
        <x:f>MAX(0,MIN(J88,P88)-MAX(F88,L88))</x:f>
        <x:v>488</x:v>
      </x:c>
      <x:c r="S88" s="25" t="n">
        <x:f>MAX(0,MIN(K88,Q88)-MAX(G88,M88))</x:f>
        <x:v>0</x:v>
      </x:c>
      <x:c r="T88" s="25" t="n">
        <x:f>R88*S88</x:f>
        <x:v>0</x:v>
      </x:c>
      <x:c r="U88" s="24" t="str">
        <x:f>IF(T88&gt;0,"ERREUR chevauchement","OK aucun chevauchement")</x:f>
        <x:v>OK aucun chevauchement</x:v>
      </x:c>
      <x:c r="V88" s="24" t="str">
        <x:v>OK aucun chevauchement</x:v>
      </x:c>
      <x:c r="W88" s="24" t="str">
        <x:v>Si ERREUR : déplacer/redimensionner l’objet B ou créer un bookmark/masquage</x:v>
      </x:c>
    </x:row>
    <x:row r="89">
      <x:c r="A89" s="24" t="str">
        <x:v>Performance</x:v>
      </x:c>
      <x:c r="B89" s="24" t="str">
        <x:v>G02_Toolbar</x:v>
      </x:c>
      <x:c r="C89" s="24" t="str">
        <x:v>Toolbar_Slicers_FieldParams</x:v>
      </x:c>
      <x:c r="D89" s="24" t="str">
        <x:v>G03_KPI_Row</x:v>
      </x:c>
      <x:c r="E89" s="24" t="str">
        <x:v>KPI_Card_01</x:v>
      </x:c>
      <x:c r="F89" s="25" t="n">
        <x:v>20</x:v>
      </x:c>
      <x:c r="G89" s="25" t="n">
        <x:v>260</x:v>
      </x:c>
      <x:c r="H89" s="25" t="n">
        <x:v>1500</x:v>
      </x:c>
      <x:c r="I89" s="25" t="n">
        <x:v>56</x:v>
      </x:c>
      <x:c r="J89" s="25" t="n">
        <x:f>F89+H89</x:f>
        <x:v>1520</x:v>
      </x:c>
      <x:c r="K89" s="25" t="n">
        <x:f>G89+I89</x:f>
        <x:v>316</x:v>
      </x:c>
      <x:c r="L89" s="25" t="n">
        <x:v>20</x:v>
      </x:c>
      <x:c r="M89" s="25" t="n">
        <x:v>330</x:v>
      </x:c>
      <x:c r="N89" s="25" t="n">
        <x:v>287</x:v>
      </x:c>
      <x:c r="O89" s="25" t="n">
        <x:v>180</x:v>
      </x:c>
      <x:c r="P89" s="25" t="n">
        <x:f>L89+N89</x:f>
        <x:v>307</x:v>
      </x:c>
      <x:c r="Q89" s="25" t="n">
        <x:f>M89+O89</x:f>
        <x:v>510</x:v>
      </x:c>
      <x:c r="R89" s="25" t="n">
        <x:f>MAX(0,MIN(J89,P89)-MAX(F89,L89))</x:f>
        <x:v>287</x:v>
      </x:c>
      <x:c r="S89" s="25" t="n">
        <x:f>MAX(0,MIN(K89,Q89)-MAX(G89,M89))</x:f>
        <x:v>0</x:v>
      </x:c>
      <x:c r="T89" s="25" t="n">
        <x:f>R89*S89</x:f>
        <x:v>0</x:v>
      </x:c>
      <x:c r="U89" s="24" t="str">
        <x:f>IF(T89&gt;0,"ERREUR chevauchement","OK aucun chevauchement")</x:f>
        <x:v>OK aucun chevauchement</x:v>
      </x:c>
      <x:c r="V89" s="24" t="str">
        <x:v>OK aucun chevauchement</x:v>
      </x:c>
      <x:c r="W89" s="24" t="str">
        <x:v>Si ERREUR : déplacer/redimensionner l’objet B ou créer un bookmark/masquage</x:v>
      </x:c>
    </x:row>
    <x:row r="90">
      <x:c r="A90" s="24" t="str">
        <x:v>Performance</x:v>
      </x:c>
      <x:c r="B90" s="24" t="str">
        <x:v>G02_Toolbar</x:v>
      </x:c>
      <x:c r="C90" s="24" t="str">
        <x:v>Toolbar_Slicers_FieldParams</x:v>
      </x:c>
      <x:c r="D90" s="24" t="str">
        <x:v>G03_KPI_Row</x:v>
      </x:c>
      <x:c r="E90" s="24" t="str">
        <x:v>KPI_Card_02</x:v>
      </x:c>
      <x:c r="F90" s="25" t="n">
        <x:v>20</x:v>
      </x:c>
      <x:c r="G90" s="25" t="n">
        <x:v>260</x:v>
      </x:c>
      <x:c r="H90" s="25" t="n">
        <x:v>1500</x:v>
      </x:c>
      <x:c r="I90" s="25" t="n">
        <x:v>56</x:v>
      </x:c>
      <x:c r="J90" s="25" t="n">
        <x:f>F90+H90</x:f>
        <x:v>1520</x:v>
      </x:c>
      <x:c r="K90" s="25" t="n">
        <x:f>G90+I90</x:f>
        <x:v>316</x:v>
      </x:c>
      <x:c r="L90" s="25" t="n">
        <x:v>323</x:v>
      </x:c>
      <x:c r="M90" s="25" t="n">
        <x:v>330</x:v>
      </x:c>
      <x:c r="N90" s="25" t="n">
        <x:v>287</x:v>
      </x:c>
      <x:c r="O90" s="25" t="n">
        <x:v>180</x:v>
      </x:c>
      <x:c r="P90" s="25" t="n">
        <x:f>L90+N90</x:f>
        <x:v>610</x:v>
      </x:c>
      <x:c r="Q90" s="25" t="n">
        <x:f>M90+O90</x:f>
        <x:v>510</x:v>
      </x:c>
      <x:c r="R90" s="25" t="n">
        <x:f>MAX(0,MIN(J90,P90)-MAX(F90,L90))</x:f>
        <x:v>287</x:v>
      </x:c>
      <x:c r="S90" s="25" t="n">
        <x:f>MAX(0,MIN(K90,Q90)-MAX(G90,M90))</x:f>
        <x:v>0</x:v>
      </x:c>
      <x:c r="T90" s="25" t="n">
        <x:f>R90*S90</x:f>
        <x:v>0</x:v>
      </x:c>
      <x:c r="U90" s="24" t="str">
        <x:f>IF(T90&gt;0,"ERREUR chevauchement","OK aucun chevauchement")</x:f>
        <x:v>OK aucun chevauchement</x:v>
      </x:c>
      <x:c r="V90" s="24" t="str">
        <x:v>OK aucun chevauchement</x:v>
      </x:c>
      <x:c r="W90" s="24" t="str">
        <x:v>Si ERREUR : déplacer/redimensionner l’objet B ou créer un bookmark/masquage</x:v>
      </x:c>
    </x:row>
    <x:row r="91">
      <x:c r="A91" s="24" t="str">
        <x:v>Performance</x:v>
      </x:c>
      <x:c r="B91" s="24" t="str">
        <x:v>G02_Toolbar</x:v>
      </x:c>
      <x:c r="C91" s="24" t="str">
        <x:v>Toolbar_Slicers_FieldParams</x:v>
      </x:c>
      <x:c r="D91" s="24" t="str">
        <x:v>G03_KPI_Row</x:v>
      </x:c>
      <x:c r="E91" s="24" t="str">
        <x:v>KPI_Card_03</x:v>
      </x:c>
      <x:c r="F91" s="25" t="n">
        <x:v>20</x:v>
      </x:c>
      <x:c r="G91" s="25" t="n">
        <x:v>260</x:v>
      </x:c>
      <x:c r="H91" s="25" t="n">
        <x:v>1500</x:v>
      </x:c>
      <x:c r="I91" s="25" t="n">
        <x:v>56</x:v>
      </x:c>
      <x:c r="J91" s="25" t="n">
        <x:f>F91+H91</x:f>
        <x:v>1520</x:v>
      </x:c>
      <x:c r="K91" s="25" t="n">
        <x:f>G91+I91</x:f>
        <x:v>316</x:v>
      </x:c>
      <x:c r="L91" s="25" t="n">
        <x:v>626</x:v>
      </x:c>
      <x:c r="M91" s="25" t="n">
        <x:v>330</x:v>
      </x:c>
      <x:c r="N91" s="25" t="n">
        <x:v>287</x:v>
      </x:c>
      <x:c r="O91" s="25" t="n">
        <x:v>180</x:v>
      </x:c>
      <x:c r="P91" s="25" t="n">
        <x:f>L91+N91</x:f>
        <x:v>913</x:v>
      </x:c>
      <x:c r="Q91" s="25" t="n">
        <x:f>M91+O91</x:f>
        <x:v>510</x:v>
      </x:c>
      <x:c r="R91" s="25" t="n">
        <x:f>MAX(0,MIN(J91,P91)-MAX(F91,L91))</x:f>
        <x:v>287</x:v>
      </x:c>
      <x:c r="S91" s="25" t="n">
        <x:f>MAX(0,MIN(K91,Q91)-MAX(G91,M91))</x:f>
        <x:v>0</x:v>
      </x:c>
      <x:c r="T91" s="25" t="n">
        <x:f>R91*S91</x:f>
        <x:v>0</x:v>
      </x:c>
      <x:c r="U91" s="24" t="str">
        <x:f>IF(T91&gt;0,"ERREUR chevauchement","OK aucun chevauchement")</x:f>
        <x:v>OK aucun chevauchement</x:v>
      </x:c>
      <x:c r="V91" s="24" t="str">
        <x:v>OK aucun chevauchement</x:v>
      </x:c>
      <x:c r="W91" s="24" t="str">
        <x:v>Si ERREUR : déplacer/redimensionner l’objet B ou créer un bookmark/masquage</x:v>
      </x:c>
    </x:row>
    <x:row r="92">
      <x:c r="A92" s="24" t="str">
        <x:v>Performance</x:v>
      </x:c>
      <x:c r="B92" s="24" t="str">
        <x:v>G02_Toolbar</x:v>
      </x:c>
      <x:c r="C92" s="24" t="str">
        <x:v>Toolbar_Slicers_FieldParams</x:v>
      </x:c>
      <x:c r="D92" s="24" t="str">
        <x:v>G03_KPI_Row</x:v>
      </x:c>
      <x:c r="E92" s="24" t="str">
        <x:v>KPI_Card_04</x:v>
      </x:c>
      <x:c r="F92" s="25" t="n">
        <x:v>20</x:v>
      </x:c>
      <x:c r="G92" s="25" t="n">
        <x:v>260</x:v>
      </x:c>
      <x:c r="H92" s="25" t="n">
        <x:v>1500</x:v>
      </x:c>
      <x:c r="I92" s="25" t="n">
        <x:v>56</x:v>
      </x:c>
      <x:c r="J92" s="25" t="n">
        <x:f>F92+H92</x:f>
        <x:v>1520</x:v>
      </x:c>
      <x:c r="K92" s="25" t="n">
        <x:f>G92+I92</x:f>
        <x:v>316</x:v>
      </x:c>
      <x:c r="L92" s="25" t="n">
        <x:v>929</x:v>
      </x:c>
      <x:c r="M92" s="25" t="n">
        <x:v>330</x:v>
      </x:c>
      <x:c r="N92" s="25" t="n">
        <x:v>287</x:v>
      </x:c>
      <x:c r="O92" s="25" t="n">
        <x:v>180</x:v>
      </x:c>
      <x:c r="P92" s="25" t="n">
        <x:f>L92+N92</x:f>
        <x:v>1216</x:v>
      </x:c>
      <x:c r="Q92" s="25" t="n">
        <x:f>M92+O92</x:f>
        <x:v>510</x:v>
      </x:c>
      <x:c r="R92" s="25" t="n">
        <x:f>MAX(0,MIN(J92,P92)-MAX(F92,L92))</x:f>
        <x:v>287</x:v>
      </x:c>
      <x:c r="S92" s="25" t="n">
        <x:f>MAX(0,MIN(K92,Q92)-MAX(G92,M92))</x:f>
        <x:v>0</x:v>
      </x:c>
      <x:c r="T92" s="25" t="n">
        <x:f>R92*S92</x:f>
        <x:v>0</x:v>
      </x:c>
      <x:c r="U92" s="24" t="str">
        <x:f>IF(T92&gt;0,"ERREUR chevauchement","OK aucun chevauchement")</x:f>
        <x:v>OK aucun chevauchement</x:v>
      </x:c>
      <x:c r="V92" s="24" t="str">
        <x:v>OK aucun chevauchement</x:v>
      </x:c>
      <x:c r="W92" s="24" t="str">
        <x:v>Si ERREUR : déplacer/redimensionner l’objet B ou créer un bookmark/masquage</x:v>
      </x:c>
    </x:row>
    <x:row r="93">
      <x:c r="A93" s="24" t="str">
        <x:v>Performance</x:v>
      </x:c>
      <x:c r="B93" s="24" t="str">
        <x:v>G02_Toolbar</x:v>
      </x:c>
      <x:c r="C93" s="24" t="str">
        <x:v>Toolbar_Slicers_FieldParams</x:v>
      </x:c>
      <x:c r="D93" s="24" t="str">
        <x:v>G03_KPI_Row</x:v>
      </x:c>
      <x:c r="E93" s="24" t="str">
        <x:v>KPI_Card_05</x:v>
      </x:c>
      <x:c r="F93" s="25" t="n">
        <x:v>20</x:v>
      </x:c>
      <x:c r="G93" s="25" t="n">
        <x:v>260</x:v>
      </x:c>
      <x:c r="H93" s="25" t="n">
        <x:v>1500</x:v>
      </x:c>
      <x:c r="I93" s="25" t="n">
        <x:v>56</x:v>
      </x:c>
      <x:c r="J93" s="25" t="n">
        <x:f>F93+H93</x:f>
        <x:v>1520</x:v>
      </x:c>
      <x:c r="K93" s="25" t="n">
        <x:f>G93+I93</x:f>
        <x:v>316</x:v>
      </x:c>
      <x:c r="L93" s="25" t="n">
        <x:v>1232</x:v>
      </x:c>
      <x:c r="M93" s="25" t="n">
        <x:v>330</x:v>
      </x:c>
      <x:c r="N93" s="25" t="n">
        <x:v>287</x:v>
      </x:c>
      <x:c r="O93" s="25" t="n">
        <x:v>180</x:v>
      </x:c>
      <x:c r="P93" s="25" t="n">
        <x:f>L93+N93</x:f>
        <x:v>1519</x:v>
      </x:c>
      <x:c r="Q93" s="25" t="n">
        <x:f>M93+O93</x:f>
        <x:v>510</x:v>
      </x:c>
      <x:c r="R93" s="25" t="n">
        <x:f>MAX(0,MIN(J93,P93)-MAX(F93,L93))</x:f>
        <x:v>287</x:v>
      </x:c>
      <x:c r="S93" s="25" t="n">
        <x:f>MAX(0,MIN(K93,Q93)-MAX(G93,M93))</x:f>
        <x:v>0</x:v>
      </x:c>
      <x:c r="T93" s="25" t="n">
        <x:f>R93*S93</x:f>
        <x:v>0</x:v>
      </x:c>
      <x:c r="U93" s="24" t="str">
        <x:f>IF(T93&gt;0,"ERREUR chevauchement","OK aucun chevauchement")</x:f>
        <x:v>OK aucun chevauchement</x:v>
      </x:c>
      <x:c r="V93" s="24" t="str">
        <x:v>OK aucun chevauchement</x:v>
      </x:c>
      <x:c r="W93" s="24" t="str">
        <x:v>Si ERREUR : déplacer/redimensionner l’objet B ou créer un bookmark/masquage</x:v>
      </x:c>
    </x:row>
    <x:row r="94">
      <x:c r="A94" s="24" t="str">
        <x:v>Performance</x:v>
      </x:c>
      <x:c r="B94" s="24" t="str">
        <x:v>G02_Toolbar</x:v>
      </x:c>
      <x:c r="C94" s="24" t="str">
        <x:v>Toolbar_Slicers_FieldParams</x:v>
      </x:c>
      <x:c r="D94" s="24" t="str">
        <x:v>G04_Charts_Row</x:v>
      </x:c>
      <x:c r="E94" s="24" t="str">
        <x:v>Line_Affaires</x:v>
      </x:c>
      <x:c r="F94" s="25" t="n">
        <x:v>20</x:v>
      </x:c>
      <x:c r="G94" s="25" t="n">
        <x:v>260</x:v>
      </x:c>
      <x:c r="H94" s="25" t="n">
        <x:v>1500</x:v>
      </x:c>
      <x:c r="I94" s="25" t="n">
        <x:v>56</x:v>
      </x:c>
      <x:c r="J94" s="25" t="n">
        <x:f>F94+H94</x:f>
        <x:v>1520</x:v>
      </x:c>
      <x:c r="K94" s="25" t="n">
        <x:f>G94+I94</x:f>
        <x:v>316</x:v>
      </x:c>
      <x:c r="L94" s="25" t="n">
        <x:v>20</x:v>
      </x:c>
      <x:c r="M94" s="25" t="n">
        <x:v>535</x:v>
      </x:c>
      <x:c r="N94" s="25" t="n">
        <x:v>490</x:v>
      </x:c>
      <x:c r="O94" s="25" t="n">
        <x:v>380</x:v>
      </x:c>
      <x:c r="P94" s="25" t="n">
        <x:f>L94+N94</x:f>
        <x:v>510</x:v>
      </x:c>
      <x:c r="Q94" s="25" t="n">
        <x:f>M94+O94</x:f>
        <x:v>915</x:v>
      </x:c>
      <x:c r="R94" s="25" t="n">
        <x:f>MAX(0,MIN(J94,P94)-MAX(F94,L94))</x:f>
        <x:v>490</x:v>
      </x:c>
      <x:c r="S94" s="25" t="n">
        <x:f>MAX(0,MIN(K94,Q94)-MAX(G94,M94))</x:f>
        <x:v>0</x:v>
      </x:c>
      <x:c r="T94" s="25" t="n">
        <x:f>R94*S94</x:f>
        <x:v>0</x:v>
      </x:c>
      <x:c r="U94" s="24" t="str">
        <x:f>IF(T94&gt;0,"ERREUR chevauchement","OK aucun chevauchement")</x:f>
        <x:v>OK aucun chevauchement</x:v>
      </x:c>
      <x:c r="V94" s="24" t="str">
        <x:v>OK aucun chevauchement</x:v>
      </x:c>
      <x:c r="W94" s="24" t="str">
        <x:v>Si ERREUR : déplacer/redimensionner l’objet B ou créer un bookmark/masquage</x:v>
      </x:c>
    </x:row>
    <x:row r="95">
      <x:c r="A95" s="24" t="str">
        <x:v>Performance</x:v>
      </x:c>
      <x:c r="B95" s="24" t="str">
        <x:v>G02_Toolbar</x:v>
      </x:c>
      <x:c r="C95" s="24" t="str">
        <x:v>Toolbar_Slicers_FieldParams</x:v>
      </x:c>
      <x:c r="D95" s="24" t="str">
        <x:v>G04_Charts_Row</x:v>
      </x:c>
      <x:c r="E95" s="24" t="str">
        <x:v>Bar_Performance</x:v>
      </x:c>
      <x:c r="F95" s="25" t="n">
        <x:v>20</x:v>
      </x:c>
      <x:c r="G95" s="25" t="n">
        <x:v>260</x:v>
      </x:c>
      <x:c r="H95" s="25" t="n">
        <x:v>1500</x:v>
      </x:c>
      <x:c r="I95" s="25" t="n">
        <x:v>56</x:v>
      </x:c>
      <x:c r="J95" s="25" t="n">
        <x:f>F95+H95</x:f>
        <x:v>1520</x:v>
      </x:c>
      <x:c r="K95" s="25" t="n">
        <x:f>G95+I95</x:f>
        <x:v>316</x:v>
      </x:c>
      <x:c r="L95" s="25" t="n">
        <x:v>526</x:v>
      </x:c>
      <x:c r="M95" s="25" t="n">
        <x:v>535</x:v>
      </x:c>
      <x:c r="N95" s="25" t="n">
        <x:v>490</x:v>
      </x:c>
      <x:c r="O95" s="25" t="n">
        <x:v>380</x:v>
      </x:c>
      <x:c r="P95" s="25" t="n">
        <x:f>L95+N95</x:f>
        <x:v>1016</x:v>
      </x:c>
      <x:c r="Q95" s="25" t="n">
        <x:f>M95+O95</x:f>
        <x:v>915</x:v>
      </x:c>
      <x:c r="R95" s="25" t="n">
        <x:f>MAX(0,MIN(J95,P95)-MAX(F95,L95))</x:f>
        <x:v>490</x:v>
      </x:c>
      <x:c r="S95" s="25" t="n">
        <x:f>MAX(0,MIN(K95,Q95)-MAX(G95,M95))</x:f>
        <x:v>0</x:v>
      </x:c>
      <x:c r="T95" s="25" t="n">
        <x:f>R95*S95</x:f>
        <x:v>0</x:v>
      </x:c>
      <x:c r="U95" s="24" t="str">
        <x:f>IF(T95&gt;0,"ERREUR chevauchement","OK aucun chevauchement")</x:f>
        <x:v>OK aucun chevauchement</x:v>
      </x:c>
      <x:c r="V95" s="24" t="str">
        <x:v>OK aucun chevauchement</x:v>
      </x:c>
      <x:c r="W95" s="24" t="str">
        <x:v>Si ERREUR : déplacer/redimensionner l’objet B ou créer un bookmark/masquage</x:v>
      </x:c>
    </x:row>
    <x:row r="96">
      <x:c r="A96" s="24" t="str">
        <x:v>Performance</x:v>
      </x:c>
      <x:c r="B96" s="24" t="str">
        <x:v>G02_Toolbar</x:v>
      </x:c>
      <x:c r="C96" s="24" t="str">
        <x:v>Toolbar_Slicers_FieldParams</x:v>
      </x:c>
      <x:c r="D96" s="24" t="str">
        <x:v>G04_Charts_Row</x:v>
      </x:c>
      <x:c r="E96" s="24" t="str">
        <x:v>Bar_Repartition</x:v>
      </x:c>
      <x:c r="F96" s="25" t="n">
        <x:v>20</x:v>
      </x:c>
      <x:c r="G96" s="25" t="n">
        <x:v>260</x:v>
      </x:c>
      <x:c r="H96" s="25" t="n">
        <x:v>1500</x:v>
      </x:c>
      <x:c r="I96" s="25" t="n">
        <x:v>56</x:v>
      </x:c>
      <x:c r="J96" s="25" t="n">
        <x:f>F96+H96</x:f>
        <x:v>1520</x:v>
      </x:c>
      <x:c r="K96" s="25" t="n">
        <x:f>G96+I96</x:f>
        <x:v>316</x:v>
      </x:c>
      <x:c r="L96" s="25" t="n">
        <x:v>1032</x:v>
      </x:c>
      <x:c r="M96" s="25" t="n">
        <x:v>535</x:v>
      </x:c>
      <x:c r="N96" s="25" t="n">
        <x:v>488</x:v>
      </x:c>
      <x:c r="O96" s="25" t="n">
        <x:v>380</x:v>
      </x:c>
      <x:c r="P96" s="25" t="n">
        <x:f>L96+N96</x:f>
        <x:v>1520</x:v>
      </x:c>
      <x:c r="Q96" s="25" t="n">
        <x:f>M96+O96</x:f>
        <x:v>915</x:v>
      </x:c>
      <x:c r="R96" s="25" t="n">
        <x:f>MAX(0,MIN(J96,P96)-MAX(F96,L96))</x:f>
        <x:v>488</x:v>
      </x:c>
      <x:c r="S96" s="25" t="n">
        <x:f>MAX(0,MIN(K96,Q96)-MAX(G96,M96))</x:f>
        <x:v>0</x:v>
      </x:c>
      <x:c r="T96" s="25" t="n">
        <x:f>R96*S96</x:f>
        <x:v>0</x:v>
      </x:c>
      <x:c r="U96" s="24" t="str">
        <x:f>IF(T96&gt;0,"ERREUR chevauchement","OK aucun chevauchement")</x:f>
        <x:v>OK aucun chevauchement</x:v>
      </x:c>
      <x:c r="V96" s="24" t="str">
        <x:v>OK aucun chevauchement</x:v>
      </x:c>
      <x:c r="W96" s="24" t="str">
        <x:v>Si ERREUR : déplacer/redimensionner l’objet B ou créer un bookmark/masquage</x:v>
      </x:c>
    </x:row>
    <x:row r="97">
      <x:c r="A97" s="24" t="str">
        <x:v>Performance</x:v>
      </x:c>
      <x:c r="B97" s="24" t="str">
        <x:v>G03_KPI_Row</x:v>
      </x:c>
      <x:c r="C97" s="24" t="str">
        <x:v>KPI_Card_01</x:v>
      </x:c>
      <x:c r="D97" s="24" t="str">
        <x:v>G03_KPI_Row</x:v>
      </x:c>
      <x:c r="E97" s="24" t="str">
        <x:v>KPI_Card_02</x:v>
      </x:c>
      <x:c r="F97" s="25" t="n">
        <x:v>20</x:v>
      </x:c>
      <x:c r="G97" s="25" t="n">
        <x:v>330</x:v>
      </x:c>
      <x:c r="H97" s="25" t="n">
        <x:v>287</x:v>
      </x:c>
      <x:c r="I97" s="25" t="n">
        <x:v>180</x:v>
      </x:c>
      <x:c r="J97" s="25" t="n">
        <x:f>F97+H97</x:f>
        <x:v>307</x:v>
      </x:c>
      <x:c r="K97" s="25" t="n">
        <x:f>G97+I97</x:f>
        <x:v>510</x:v>
      </x:c>
      <x:c r="L97" s="25" t="n">
        <x:v>323</x:v>
      </x:c>
      <x:c r="M97" s="25" t="n">
        <x:v>330</x:v>
      </x:c>
      <x:c r="N97" s="25" t="n">
        <x:v>287</x:v>
      </x:c>
      <x:c r="O97" s="25" t="n">
        <x:v>180</x:v>
      </x:c>
      <x:c r="P97" s="25" t="n">
        <x:f>L97+N97</x:f>
        <x:v>610</x:v>
      </x:c>
      <x:c r="Q97" s="25" t="n">
        <x:f>M97+O97</x:f>
        <x:v>510</x:v>
      </x:c>
      <x:c r="R97" s="25" t="n">
        <x:f>MAX(0,MIN(J97,P97)-MAX(F97,L97))</x:f>
        <x:v>0</x:v>
      </x:c>
      <x:c r="S97" s="25" t="n">
        <x:f>MAX(0,MIN(K97,Q97)-MAX(G97,M97))</x:f>
        <x:v>180</x:v>
      </x:c>
      <x:c r="T97" s="25" t="n">
        <x:f>R97*S97</x:f>
        <x:v>0</x:v>
      </x:c>
      <x:c r="U97" s="24" t="str">
        <x:f>IF(T97&gt;0,"ERREUR chevauchement","OK aucun chevauchement")</x:f>
        <x:v>OK aucun chevauchement</x:v>
      </x:c>
      <x:c r="V97" s="24" t="str">
        <x:v>OK aucun chevauchement</x:v>
      </x:c>
      <x:c r="W97" s="24" t="str">
        <x:v>Si ERREUR : déplacer/redimensionner l’objet B ou créer un bookmark/masquage</x:v>
      </x:c>
    </x:row>
    <x:row r="98">
      <x:c r="A98" s="24" t="str">
        <x:v>Performance</x:v>
      </x:c>
      <x:c r="B98" s="24" t="str">
        <x:v>G03_KPI_Row</x:v>
      </x:c>
      <x:c r="C98" s="24" t="str">
        <x:v>KPI_Card_01</x:v>
      </x:c>
      <x:c r="D98" s="24" t="str">
        <x:v>G03_KPI_Row</x:v>
      </x:c>
      <x:c r="E98" s="24" t="str">
        <x:v>KPI_Card_03</x:v>
      </x:c>
      <x:c r="F98" s="25" t="n">
        <x:v>20</x:v>
      </x:c>
      <x:c r="G98" s="25" t="n">
        <x:v>330</x:v>
      </x:c>
      <x:c r="H98" s="25" t="n">
        <x:v>287</x:v>
      </x:c>
      <x:c r="I98" s="25" t="n">
        <x:v>180</x:v>
      </x:c>
      <x:c r="J98" s="25" t="n">
        <x:f>F98+H98</x:f>
        <x:v>307</x:v>
      </x:c>
      <x:c r="K98" s="25" t="n">
        <x:f>G98+I98</x:f>
        <x:v>510</x:v>
      </x:c>
      <x:c r="L98" s="25" t="n">
        <x:v>626</x:v>
      </x:c>
      <x:c r="M98" s="25" t="n">
        <x:v>330</x:v>
      </x:c>
      <x:c r="N98" s="25" t="n">
        <x:v>287</x:v>
      </x:c>
      <x:c r="O98" s="25" t="n">
        <x:v>180</x:v>
      </x:c>
      <x:c r="P98" s="25" t="n">
        <x:f>L98+N98</x:f>
        <x:v>913</x:v>
      </x:c>
      <x:c r="Q98" s="25" t="n">
        <x:f>M98+O98</x:f>
        <x:v>510</x:v>
      </x:c>
      <x:c r="R98" s="25" t="n">
        <x:f>MAX(0,MIN(J98,P98)-MAX(F98,L98))</x:f>
        <x:v>0</x:v>
      </x:c>
      <x:c r="S98" s="25" t="n">
        <x:f>MAX(0,MIN(K98,Q98)-MAX(G98,M98))</x:f>
        <x:v>180</x:v>
      </x:c>
      <x:c r="T98" s="25" t="n">
        <x:f>R98*S98</x:f>
        <x:v>0</x:v>
      </x:c>
      <x:c r="U98" s="24" t="str">
        <x:f>IF(T98&gt;0,"ERREUR chevauchement","OK aucun chevauchement")</x:f>
        <x:v>OK aucun chevauchement</x:v>
      </x:c>
      <x:c r="V98" s="24" t="str">
        <x:v>OK aucun chevauchement</x:v>
      </x:c>
      <x:c r="W98" s="24" t="str">
        <x:v>Si ERREUR : déplacer/redimensionner l’objet B ou créer un bookmark/masquage</x:v>
      </x:c>
    </x:row>
    <x:row r="99">
      <x:c r="A99" s="24" t="str">
        <x:v>Performance</x:v>
      </x:c>
      <x:c r="B99" s="24" t="str">
        <x:v>G03_KPI_Row</x:v>
      </x:c>
      <x:c r="C99" s="24" t="str">
        <x:v>KPI_Card_01</x:v>
      </x:c>
      <x:c r="D99" s="24" t="str">
        <x:v>G03_KPI_Row</x:v>
      </x:c>
      <x:c r="E99" s="24" t="str">
        <x:v>KPI_Card_04</x:v>
      </x:c>
      <x:c r="F99" s="25" t="n">
        <x:v>20</x:v>
      </x:c>
      <x:c r="G99" s="25" t="n">
        <x:v>330</x:v>
      </x:c>
      <x:c r="H99" s="25" t="n">
        <x:v>287</x:v>
      </x:c>
      <x:c r="I99" s="25" t="n">
        <x:v>180</x:v>
      </x:c>
      <x:c r="J99" s="25" t="n">
        <x:f>F99+H99</x:f>
        <x:v>307</x:v>
      </x:c>
      <x:c r="K99" s="25" t="n">
        <x:f>G99+I99</x:f>
        <x:v>510</x:v>
      </x:c>
      <x:c r="L99" s="25" t="n">
        <x:v>929</x:v>
      </x:c>
      <x:c r="M99" s="25" t="n">
        <x:v>330</x:v>
      </x:c>
      <x:c r="N99" s="25" t="n">
        <x:v>287</x:v>
      </x:c>
      <x:c r="O99" s="25" t="n">
        <x:v>180</x:v>
      </x:c>
      <x:c r="P99" s="25" t="n">
        <x:f>L99+N99</x:f>
        <x:v>1216</x:v>
      </x:c>
      <x:c r="Q99" s="25" t="n">
        <x:f>M99+O99</x:f>
        <x:v>510</x:v>
      </x:c>
      <x:c r="R99" s="25" t="n">
        <x:f>MAX(0,MIN(J99,P99)-MAX(F99,L99))</x:f>
        <x:v>0</x:v>
      </x:c>
      <x:c r="S99" s="25" t="n">
        <x:f>MAX(0,MIN(K99,Q99)-MAX(G99,M99))</x:f>
        <x:v>180</x:v>
      </x:c>
      <x:c r="T99" s="25" t="n">
        <x:f>R99*S99</x:f>
        <x:v>0</x:v>
      </x:c>
      <x:c r="U99" s="24" t="str">
        <x:f>IF(T99&gt;0,"ERREUR chevauchement","OK aucun chevauchement")</x:f>
        <x:v>OK aucun chevauchement</x:v>
      </x:c>
      <x:c r="V99" s="24" t="str">
        <x:v>OK aucun chevauchement</x:v>
      </x:c>
      <x:c r="W99" s="24" t="str">
        <x:v>Si ERREUR : déplacer/redimensionner l’objet B ou créer un bookmark/masquage</x:v>
      </x:c>
    </x:row>
    <x:row r="100">
      <x:c r="A100" s="24" t="str">
        <x:v>Performance</x:v>
      </x:c>
      <x:c r="B100" s="24" t="str">
        <x:v>G03_KPI_Row</x:v>
      </x:c>
      <x:c r="C100" s="24" t="str">
        <x:v>KPI_Card_01</x:v>
      </x:c>
      <x:c r="D100" s="24" t="str">
        <x:v>G03_KPI_Row</x:v>
      </x:c>
      <x:c r="E100" s="24" t="str">
        <x:v>KPI_Card_05</x:v>
      </x:c>
      <x:c r="F100" s="25" t="n">
        <x:v>20</x:v>
      </x:c>
      <x:c r="G100" s="25" t="n">
        <x:v>330</x:v>
      </x:c>
      <x:c r="H100" s="25" t="n">
        <x:v>287</x:v>
      </x:c>
      <x:c r="I100" s="25" t="n">
        <x:v>180</x:v>
      </x:c>
      <x:c r="J100" s="25" t="n">
        <x:f>F100+H100</x:f>
        <x:v>307</x:v>
      </x:c>
      <x:c r="K100" s="25" t="n">
        <x:f>G100+I100</x:f>
        <x:v>510</x:v>
      </x:c>
      <x:c r="L100" s="25" t="n">
        <x:v>1232</x:v>
      </x:c>
      <x:c r="M100" s="25" t="n">
        <x:v>330</x:v>
      </x:c>
      <x:c r="N100" s="25" t="n">
        <x:v>287</x:v>
      </x:c>
      <x:c r="O100" s="25" t="n">
        <x:v>180</x:v>
      </x:c>
      <x:c r="P100" s="25" t="n">
        <x:f>L100+N100</x:f>
        <x:v>1519</x:v>
      </x:c>
      <x:c r="Q100" s="25" t="n">
        <x:f>M100+O100</x:f>
        <x:v>510</x:v>
      </x:c>
      <x:c r="R100" s="25" t="n">
        <x:f>MAX(0,MIN(J100,P100)-MAX(F100,L100))</x:f>
        <x:v>0</x:v>
      </x:c>
      <x:c r="S100" s="25" t="n">
        <x:f>MAX(0,MIN(K100,Q100)-MAX(G100,M100))</x:f>
        <x:v>180</x:v>
      </x:c>
      <x:c r="T100" s="25" t="n">
        <x:f>R100*S100</x:f>
        <x:v>0</x:v>
      </x:c>
      <x:c r="U100" s="24" t="str">
        <x:f>IF(T100&gt;0,"ERREUR chevauchement","OK aucun chevauchement")</x:f>
        <x:v>OK aucun chevauchement</x:v>
      </x:c>
      <x:c r="V100" s="24" t="str">
        <x:v>OK aucun chevauchement</x:v>
      </x:c>
      <x:c r="W100" s="24" t="str">
        <x:v>Si ERREUR : déplacer/redimensionner l’objet B ou créer un bookmark/masquage</x:v>
      </x:c>
    </x:row>
    <x:row r="101">
      <x:c r="A101" s="24" t="str">
        <x:v>Performance</x:v>
      </x:c>
      <x:c r="B101" s="24" t="str">
        <x:v>G03_KPI_Row</x:v>
      </x:c>
      <x:c r="C101" s="24" t="str">
        <x:v>KPI_Card_01</x:v>
      </x:c>
      <x:c r="D101" s="24" t="str">
        <x:v>G04_Charts_Row</x:v>
      </x:c>
      <x:c r="E101" s="24" t="str">
        <x:v>Line_Affaires</x:v>
      </x:c>
      <x:c r="F101" s="25" t="n">
        <x:v>20</x:v>
      </x:c>
      <x:c r="G101" s="25" t="n">
        <x:v>330</x:v>
      </x:c>
      <x:c r="H101" s="25" t="n">
        <x:v>287</x:v>
      </x:c>
      <x:c r="I101" s="25" t="n">
        <x:v>180</x:v>
      </x:c>
      <x:c r="J101" s="25" t="n">
        <x:f>F101+H101</x:f>
        <x:v>307</x:v>
      </x:c>
      <x:c r="K101" s="25" t="n">
        <x:f>G101+I101</x:f>
        <x:v>510</x:v>
      </x:c>
      <x:c r="L101" s="25" t="n">
        <x:v>20</x:v>
      </x:c>
      <x:c r="M101" s="25" t="n">
        <x:v>535</x:v>
      </x:c>
      <x:c r="N101" s="25" t="n">
        <x:v>490</x:v>
      </x:c>
      <x:c r="O101" s="25" t="n">
        <x:v>380</x:v>
      </x:c>
      <x:c r="P101" s="25" t="n">
        <x:f>L101+N101</x:f>
        <x:v>510</x:v>
      </x:c>
      <x:c r="Q101" s="25" t="n">
        <x:f>M101+O101</x:f>
        <x:v>915</x:v>
      </x:c>
      <x:c r="R101" s="25" t="n">
        <x:f>MAX(0,MIN(J101,P101)-MAX(F101,L101))</x:f>
        <x:v>287</x:v>
      </x:c>
      <x:c r="S101" s="25" t="n">
        <x:f>MAX(0,MIN(K101,Q101)-MAX(G101,M101))</x:f>
        <x:v>0</x:v>
      </x:c>
      <x:c r="T101" s="25" t="n">
        <x:f>R101*S101</x:f>
        <x:v>0</x:v>
      </x:c>
      <x:c r="U101" s="24" t="str">
        <x:f>IF(T101&gt;0,"ERREUR chevauchement","OK aucun chevauchement")</x:f>
        <x:v>OK aucun chevauchement</x:v>
      </x:c>
      <x:c r="V101" s="24" t="str">
        <x:v>OK aucun chevauchement</x:v>
      </x:c>
      <x:c r="W101" s="24" t="str">
        <x:v>Si ERREUR : déplacer/redimensionner l’objet B ou créer un bookmark/masquage</x:v>
      </x:c>
    </x:row>
    <x:row r="102">
      <x:c r="A102" s="24" t="str">
        <x:v>Performance</x:v>
      </x:c>
      <x:c r="B102" s="24" t="str">
        <x:v>G03_KPI_Row</x:v>
      </x:c>
      <x:c r="C102" s="24" t="str">
        <x:v>KPI_Card_01</x:v>
      </x:c>
      <x:c r="D102" s="24" t="str">
        <x:v>G04_Charts_Row</x:v>
      </x:c>
      <x:c r="E102" s="24" t="str">
        <x:v>Bar_Performance</x:v>
      </x:c>
      <x:c r="F102" s="25" t="n">
        <x:v>20</x:v>
      </x:c>
      <x:c r="G102" s="25" t="n">
        <x:v>330</x:v>
      </x:c>
      <x:c r="H102" s="25" t="n">
        <x:v>287</x:v>
      </x:c>
      <x:c r="I102" s="25" t="n">
        <x:v>180</x:v>
      </x:c>
      <x:c r="J102" s="25" t="n">
        <x:f>F102+H102</x:f>
        <x:v>307</x:v>
      </x:c>
      <x:c r="K102" s="25" t="n">
        <x:f>G102+I102</x:f>
        <x:v>510</x:v>
      </x:c>
      <x:c r="L102" s="25" t="n">
        <x:v>526</x:v>
      </x:c>
      <x:c r="M102" s="25" t="n">
        <x:v>535</x:v>
      </x:c>
      <x:c r="N102" s="25" t="n">
        <x:v>490</x:v>
      </x:c>
      <x:c r="O102" s="25" t="n">
        <x:v>380</x:v>
      </x:c>
      <x:c r="P102" s="25" t="n">
        <x:f>L102+N102</x:f>
        <x:v>1016</x:v>
      </x:c>
      <x:c r="Q102" s="25" t="n">
        <x:f>M102+O102</x:f>
        <x:v>915</x:v>
      </x:c>
      <x:c r="R102" s="25" t="n">
        <x:f>MAX(0,MIN(J102,P102)-MAX(F102,L102))</x:f>
        <x:v>0</x:v>
      </x:c>
      <x:c r="S102" s="25" t="n">
        <x:f>MAX(0,MIN(K102,Q102)-MAX(G102,M102))</x:f>
        <x:v>0</x:v>
      </x:c>
      <x:c r="T102" s="25" t="n">
        <x:f>R102*S102</x:f>
        <x:v>0</x:v>
      </x:c>
      <x:c r="U102" s="24" t="str">
        <x:f>IF(T102&gt;0,"ERREUR chevauchement","OK aucun chevauchement")</x:f>
        <x:v>OK aucun chevauchement</x:v>
      </x:c>
      <x:c r="V102" s="24" t="str">
        <x:v>OK aucun chevauchement</x:v>
      </x:c>
      <x:c r="W102" s="24" t="str">
        <x:v>Si ERREUR : déplacer/redimensionner l’objet B ou créer un bookmark/masquage</x:v>
      </x:c>
    </x:row>
    <x:row r="103">
      <x:c r="A103" s="24" t="str">
        <x:v>Performance</x:v>
      </x:c>
      <x:c r="B103" s="24" t="str">
        <x:v>G03_KPI_Row</x:v>
      </x:c>
      <x:c r="C103" s="24" t="str">
        <x:v>KPI_Card_01</x:v>
      </x:c>
      <x:c r="D103" s="24" t="str">
        <x:v>G04_Charts_Row</x:v>
      </x:c>
      <x:c r="E103" s="24" t="str">
        <x:v>Bar_Repartition</x:v>
      </x:c>
      <x:c r="F103" s="25" t="n">
        <x:v>20</x:v>
      </x:c>
      <x:c r="G103" s="25" t="n">
        <x:v>330</x:v>
      </x:c>
      <x:c r="H103" s="25" t="n">
        <x:v>287</x:v>
      </x:c>
      <x:c r="I103" s="25" t="n">
        <x:v>180</x:v>
      </x:c>
      <x:c r="J103" s="25" t="n">
        <x:f>F103+H103</x:f>
        <x:v>307</x:v>
      </x:c>
      <x:c r="K103" s="25" t="n">
        <x:f>G103+I103</x:f>
        <x:v>510</x:v>
      </x:c>
      <x:c r="L103" s="25" t="n">
        <x:v>1032</x:v>
      </x:c>
      <x:c r="M103" s="25" t="n">
        <x:v>535</x:v>
      </x:c>
      <x:c r="N103" s="25" t="n">
        <x:v>488</x:v>
      </x:c>
      <x:c r="O103" s="25" t="n">
        <x:v>380</x:v>
      </x:c>
      <x:c r="P103" s="25" t="n">
        <x:f>L103+N103</x:f>
        <x:v>1520</x:v>
      </x:c>
      <x:c r="Q103" s="25" t="n">
        <x:f>M103+O103</x:f>
        <x:v>915</x:v>
      </x:c>
      <x:c r="R103" s="25" t="n">
        <x:f>MAX(0,MIN(J103,P103)-MAX(F103,L103))</x:f>
        <x:v>0</x:v>
      </x:c>
      <x:c r="S103" s="25" t="n">
        <x:f>MAX(0,MIN(K103,Q103)-MAX(G103,M103))</x:f>
        <x:v>0</x:v>
      </x:c>
      <x:c r="T103" s="25" t="n">
        <x:f>R103*S103</x:f>
        <x:v>0</x:v>
      </x:c>
      <x:c r="U103" s="24" t="str">
        <x:f>IF(T103&gt;0,"ERREUR chevauchement","OK aucun chevauchement")</x:f>
        <x:v>OK aucun chevauchement</x:v>
      </x:c>
      <x:c r="V103" s="24" t="str">
        <x:v>OK aucun chevauchement</x:v>
      </x:c>
      <x:c r="W103" s="24" t="str">
        <x:v>Si ERREUR : déplacer/redimensionner l’objet B ou créer un bookmark/masquage</x:v>
      </x:c>
    </x:row>
    <x:row r="104">
      <x:c r="A104" s="24" t="str">
        <x:v>Performance</x:v>
      </x:c>
      <x:c r="B104" s="24" t="str">
        <x:v>G03_KPI_Row</x:v>
      </x:c>
      <x:c r="C104" s="24" t="str">
        <x:v>KPI_Card_02</x:v>
      </x:c>
      <x:c r="D104" s="24" t="str">
        <x:v>G03_KPI_Row</x:v>
      </x:c>
      <x:c r="E104" s="24" t="str">
        <x:v>KPI_Card_03</x:v>
      </x:c>
      <x:c r="F104" s="25" t="n">
        <x:v>323</x:v>
      </x:c>
      <x:c r="G104" s="25" t="n">
        <x:v>330</x:v>
      </x:c>
      <x:c r="H104" s="25" t="n">
        <x:v>287</x:v>
      </x:c>
      <x:c r="I104" s="25" t="n">
        <x:v>180</x:v>
      </x:c>
      <x:c r="J104" s="25" t="n">
        <x:f>F104+H104</x:f>
        <x:v>610</x:v>
      </x:c>
      <x:c r="K104" s="25" t="n">
        <x:f>G104+I104</x:f>
        <x:v>510</x:v>
      </x:c>
      <x:c r="L104" s="25" t="n">
        <x:v>626</x:v>
      </x:c>
      <x:c r="M104" s="25" t="n">
        <x:v>330</x:v>
      </x:c>
      <x:c r="N104" s="25" t="n">
        <x:v>287</x:v>
      </x:c>
      <x:c r="O104" s="25" t="n">
        <x:v>180</x:v>
      </x:c>
      <x:c r="P104" s="25" t="n">
        <x:f>L104+N104</x:f>
        <x:v>913</x:v>
      </x:c>
      <x:c r="Q104" s="25" t="n">
        <x:f>M104+O104</x:f>
        <x:v>510</x:v>
      </x:c>
      <x:c r="R104" s="25" t="n">
        <x:f>MAX(0,MIN(J104,P104)-MAX(F104,L104))</x:f>
        <x:v>0</x:v>
      </x:c>
      <x:c r="S104" s="25" t="n">
        <x:f>MAX(0,MIN(K104,Q104)-MAX(G104,M104))</x:f>
        <x:v>180</x:v>
      </x:c>
      <x:c r="T104" s="25" t="n">
        <x:f>R104*S104</x:f>
        <x:v>0</x:v>
      </x:c>
      <x:c r="U104" s="24" t="str">
        <x:f>IF(T104&gt;0,"ERREUR chevauchement","OK aucun chevauchement")</x:f>
        <x:v>OK aucun chevauchement</x:v>
      </x:c>
      <x:c r="V104" s="24" t="str">
        <x:v>OK aucun chevauchement</x:v>
      </x:c>
      <x:c r="W104" s="24" t="str">
        <x:v>Si ERREUR : déplacer/redimensionner l’objet B ou créer un bookmark/masquage</x:v>
      </x:c>
    </x:row>
    <x:row r="105">
      <x:c r="A105" s="24" t="str">
        <x:v>Performance</x:v>
      </x:c>
      <x:c r="B105" s="24" t="str">
        <x:v>G03_KPI_Row</x:v>
      </x:c>
      <x:c r="C105" s="24" t="str">
        <x:v>KPI_Card_02</x:v>
      </x:c>
      <x:c r="D105" s="24" t="str">
        <x:v>G03_KPI_Row</x:v>
      </x:c>
      <x:c r="E105" s="24" t="str">
        <x:v>KPI_Card_04</x:v>
      </x:c>
      <x:c r="F105" s="25" t="n">
        <x:v>323</x:v>
      </x:c>
      <x:c r="G105" s="25" t="n">
        <x:v>330</x:v>
      </x:c>
      <x:c r="H105" s="25" t="n">
        <x:v>287</x:v>
      </x:c>
      <x:c r="I105" s="25" t="n">
        <x:v>180</x:v>
      </x:c>
      <x:c r="J105" s="25" t="n">
        <x:f>F105+H105</x:f>
        <x:v>610</x:v>
      </x:c>
      <x:c r="K105" s="25" t="n">
        <x:f>G105+I105</x:f>
        <x:v>510</x:v>
      </x:c>
      <x:c r="L105" s="25" t="n">
        <x:v>929</x:v>
      </x:c>
      <x:c r="M105" s="25" t="n">
        <x:v>330</x:v>
      </x:c>
      <x:c r="N105" s="25" t="n">
        <x:v>287</x:v>
      </x:c>
      <x:c r="O105" s="25" t="n">
        <x:v>180</x:v>
      </x:c>
      <x:c r="P105" s="25" t="n">
        <x:f>L105+N105</x:f>
        <x:v>1216</x:v>
      </x:c>
      <x:c r="Q105" s="25" t="n">
        <x:f>M105+O105</x:f>
        <x:v>510</x:v>
      </x:c>
      <x:c r="R105" s="25" t="n">
        <x:f>MAX(0,MIN(J105,P105)-MAX(F105,L105))</x:f>
        <x:v>0</x:v>
      </x:c>
      <x:c r="S105" s="25" t="n">
        <x:f>MAX(0,MIN(K105,Q105)-MAX(G105,M105))</x:f>
        <x:v>180</x:v>
      </x:c>
      <x:c r="T105" s="25" t="n">
        <x:f>R105*S105</x:f>
        <x:v>0</x:v>
      </x:c>
      <x:c r="U105" s="24" t="str">
        <x:f>IF(T105&gt;0,"ERREUR chevauchement","OK aucun chevauchement")</x:f>
        <x:v>OK aucun chevauchement</x:v>
      </x:c>
      <x:c r="V105" s="24" t="str">
        <x:v>OK aucun chevauchement</x:v>
      </x:c>
      <x:c r="W105" s="24" t="str">
        <x:v>Si ERREUR : déplacer/redimensionner l’objet B ou créer un bookmark/masquage</x:v>
      </x:c>
    </x:row>
    <x:row r="106">
      <x:c r="A106" s="24" t="str">
        <x:v>Performance</x:v>
      </x:c>
      <x:c r="B106" s="24" t="str">
        <x:v>G03_KPI_Row</x:v>
      </x:c>
      <x:c r="C106" s="24" t="str">
        <x:v>KPI_Card_02</x:v>
      </x:c>
      <x:c r="D106" s="24" t="str">
        <x:v>G03_KPI_Row</x:v>
      </x:c>
      <x:c r="E106" s="24" t="str">
        <x:v>KPI_Card_05</x:v>
      </x:c>
      <x:c r="F106" s="25" t="n">
        <x:v>323</x:v>
      </x:c>
      <x:c r="G106" s="25" t="n">
        <x:v>330</x:v>
      </x:c>
      <x:c r="H106" s="25" t="n">
        <x:v>287</x:v>
      </x:c>
      <x:c r="I106" s="25" t="n">
        <x:v>180</x:v>
      </x:c>
      <x:c r="J106" s="25" t="n">
        <x:f>F106+H106</x:f>
        <x:v>610</x:v>
      </x:c>
      <x:c r="K106" s="25" t="n">
        <x:f>G106+I106</x:f>
        <x:v>510</x:v>
      </x:c>
      <x:c r="L106" s="25" t="n">
        <x:v>1232</x:v>
      </x:c>
      <x:c r="M106" s="25" t="n">
        <x:v>330</x:v>
      </x:c>
      <x:c r="N106" s="25" t="n">
        <x:v>287</x:v>
      </x:c>
      <x:c r="O106" s="25" t="n">
        <x:v>180</x:v>
      </x:c>
      <x:c r="P106" s="25" t="n">
        <x:f>L106+N106</x:f>
        <x:v>1519</x:v>
      </x:c>
      <x:c r="Q106" s="25" t="n">
        <x:f>M106+O106</x:f>
        <x:v>510</x:v>
      </x:c>
      <x:c r="R106" s="25" t="n">
        <x:f>MAX(0,MIN(J106,P106)-MAX(F106,L106))</x:f>
        <x:v>0</x:v>
      </x:c>
      <x:c r="S106" s="25" t="n">
        <x:f>MAX(0,MIN(K106,Q106)-MAX(G106,M106))</x:f>
        <x:v>180</x:v>
      </x:c>
      <x:c r="T106" s="25" t="n">
        <x:f>R106*S106</x:f>
        <x:v>0</x:v>
      </x:c>
      <x:c r="U106" s="24" t="str">
        <x:f>IF(T106&gt;0,"ERREUR chevauchement","OK aucun chevauchement")</x:f>
        <x:v>OK aucun chevauchement</x:v>
      </x:c>
      <x:c r="V106" s="24" t="str">
        <x:v>OK aucun chevauchement</x:v>
      </x:c>
      <x:c r="W106" s="24" t="str">
        <x:v>Si ERREUR : déplacer/redimensionner l’objet B ou créer un bookmark/masquage</x:v>
      </x:c>
    </x:row>
    <x:row r="107">
      <x:c r="A107" s="24" t="str">
        <x:v>Performance</x:v>
      </x:c>
      <x:c r="B107" s="24" t="str">
        <x:v>G03_KPI_Row</x:v>
      </x:c>
      <x:c r="C107" s="24" t="str">
        <x:v>KPI_Card_02</x:v>
      </x:c>
      <x:c r="D107" s="24" t="str">
        <x:v>G04_Charts_Row</x:v>
      </x:c>
      <x:c r="E107" s="24" t="str">
        <x:v>Line_Affaires</x:v>
      </x:c>
      <x:c r="F107" s="25" t="n">
        <x:v>323</x:v>
      </x:c>
      <x:c r="G107" s="25" t="n">
        <x:v>330</x:v>
      </x:c>
      <x:c r="H107" s="25" t="n">
        <x:v>287</x:v>
      </x:c>
      <x:c r="I107" s="25" t="n">
        <x:v>180</x:v>
      </x:c>
      <x:c r="J107" s="25" t="n">
        <x:f>F107+H107</x:f>
        <x:v>610</x:v>
      </x:c>
      <x:c r="K107" s="25" t="n">
        <x:f>G107+I107</x:f>
        <x:v>510</x:v>
      </x:c>
      <x:c r="L107" s="25" t="n">
        <x:v>20</x:v>
      </x:c>
      <x:c r="M107" s="25" t="n">
        <x:v>535</x:v>
      </x:c>
      <x:c r="N107" s="25" t="n">
        <x:v>490</x:v>
      </x:c>
      <x:c r="O107" s="25" t="n">
        <x:v>380</x:v>
      </x:c>
      <x:c r="P107" s="25" t="n">
        <x:f>L107+N107</x:f>
        <x:v>510</x:v>
      </x:c>
      <x:c r="Q107" s="25" t="n">
        <x:f>M107+O107</x:f>
        <x:v>915</x:v>
      </x:c>
      <x:c r="R107" s="25" t="n">
        <x:f>MAX(0,MIN(J107,P107)-MAX(F107,L107))</x:f>
        <x:v>187</x:v>
      </x:c>
      <x:c r="S107" s="25" t="n">
        <x:f>MAX(0,MIN(K107,Q107)-MAX(G107,M107))</x:f>
        <x:v>0</x:v>
      </x:c>
      <x:c r="T107" s="25" t="n">
        <x:f>R107*S107</x:f>
        <x:v>0</x:v>
      </x:c>
      <x:c r="U107" s="24" t="str">
        <x:f>IF(T107&gt;0,"ERREUR chevauchement","OK aucun chevauchement")</x:f>
        <x:v>OK aucun chevauchement</x:v>
      </x:c>
      <x:c r="V107" s="24" t="str">
        <x:v>OK aucun chevauchement</x:v>
      </x:c>
      <x:c r="W107" s="24" t="str">
        <x:v>Si ERREUR : déplacer/redimensionner l’objet B ou créer un bookmark/masquage</x:v>
      </x:c>
    </x:row>
    <x:row r="108">
      <x:c r="A108" s="24" t="str">
        <x:v>Performance</x:v>
      </x:c>
      <x:c r="B108" s="24" t="str">
        <x:v>G03_KPI_Row</x:v>
      </x:c>
      <x:c r="C108" s="24" t="str">
        <x:v>KPI_Card_02</x:v>
      </x:c>
      <x:c r="D108" s="24" t="str">
        <x:v>G04_Charts_Row</x:v>
      </x:c>
      <x:c r="E108" s="24" t="str">
        <x:v>Bar_Performance</x:v>
      </x:c>
      <x:c r="F108" s="25" t="n">
        <x:v>323</x:v>
      </x:c>
      <x:c r="G108" s="25" t="n">
        <x:v>330</x:v>
      </x:c>
      <x:c r="H108" s="25" t="n">
        <x:v>287</x:v>
      </x:c>
      <x:c r="I108" s="25" t="n">
        <x:v>180</x:v>
      </x:c>
      <x:c r="J108" s="25" t="n">
        <x:f>F108+H108</x:f>
        <x:v>610</x:v>
      </x:c>
      <x:c r="K108" s="25" t="n">
        <x:f>G108+I108</x:f>
        <x:v>510</x:v>
      </x:c>
      <x:c r="L108" s="25" t="n">
        <x:v>526</x:v>
      </x:c>
      <x:c r="M108" s="25" t="n">
        <x:v>535</x:v>
      </x:c>
      <x:c r="N108" s="25" t="n">
        <x:v>490</x:v>
      </x:c>
      <x:c r="O108" s="25" t="n">
        <x:v>380</x:v>
      </x:c>
      <x:c r="P108" s="25" t="n">
        <x:f>L108+N108</x:f>
        <x:v>1016</x:v>
      </x:c>
      <x:c r="Q108" s="25" t="n">
        <x:f>M108+O108</x:f>
        <x:v>915</x:v>
      </x:c>
      <x:c r="R108" s="25" t="n">
        <x:f>MAX(0,MIN(J108,P108)-MAX(F108,L108))</x:f>
        <x:v>84</x:v>
      </x:c>
      <x:c r="S108" s="25" t="n">
        <x:f>MAX(0,MIN(K108,Q108)-MAX(G108,M108))</x:f>
        <x:v>0</x:v>
      </x:c>
      <x:c r="T108" s="25" t="n">
        <x:f>R108*S108</x:f>
        <x:v>0</x:v>
      </x:c>
      <x:c r="U108" s="24" t="str">
        <x:f>IF(T108&gt;0,"ERREUR chevauchement","OK aucun chevauchement")</x:f>
        <x:v>OK aucun chevauchement</x:v>
      </x:c>
      <x:c r="V108" s="24" t="str">
        <x:v>OK aucun chevauchement</x:v>
      </x:c>
      <x:c r="W108" s="24" t="str">
        <x:v>Si ERREUR : déplacer/redimensionner l’objet B ou créer un bookmark/masquage</x:v>
      </x:c>
    </x:row>
    <x:row r="109">
      <x:c r="A109" s="24" t="str">
        <x:v>Performance</x:v>
      </x:c>
      <x:c r="B109" s="24" t="str">
        <x:v>G03_KPI_Row</x:v>
      </x:c>
      <x:c r="C109" s="24" t="str">
        <x:v>KPI_Card_02</x:v>
      </x:c>
      <x:c r="D109" s="24" t="str">
        <x:v>G04_Charts_Row</x:v>
      </x:c>
      <x:c r="E109" s="24" t="str">
        <x:v>Bar_Repartition</x:v>
      </x:c>
      <x:c r="F109" s="25" t="n">
        <x:v>323</x:v>
      </x:c>
      <x:c r="G109" s="25" t="n">
        <x:v>330</x:v>
      </x:c>
      <x:c r="H109" s="25" t="n">
        <x:v>287</x:v>
      </x:c>
      <x:c r="I109" s="25" t="n">
        <x:v>180</x:v>
      </x:c>
      <x:c r="J109" s="25" t="n">
        <x:f>F109+H109</x:f>
        <x:v>610</x:v>
      </x:c>
      <x:c r="K109" s="25" t="n">
        <x:f>G109+I109</x:f>
        <x:v>510</x:v>
      </x:c>
      <x:c r="L109" s="25" t="n">
        <x:v>1032</x:v>
      </x:c>
      <x:c r="M109" s="25" t="n">
        <x:v>535</x:v>
      </x:c>
      <x:c r="N109" s="25" t="n">
        <x:v>488</x:v>
      </x:c>
      <x:c r="O109" s="25" t="n">
        <x:v>380</x:v>
      </x:c>
      <x:c r="P109" s="25" t="n">
        <x:f>L109+N109</x:f>
        <x:v>1520</x:v>
      </x:c>
      <x:c r="Q109" s="25" t="n">
        <x:f>M109+O109</x:f>
        <x:v>915</x:v>
      </x:c>
      <x:c r="R109" s="25" t="n">
        <x:f>MAX(0,MIN(J109,P109)-MAX(F109,L109))</x:f>
        <x:v>0</x:v>
      </x:c>
      <x:c r="S109" s="25" t="n">
        <x:f>MAX(0,MIN(K109,Q109)-MAX(G109,M109))</x:f>
        <x:v>0</x:v>
      </x:c>
      <x:c r="T109" s="25" t="n">
        <x:f>R109*S109</x:f>
        <x:v>0</x:v>
      </x:c>
      <x:c r="U109" s="24" t="str">
        <x:f>IF(T109&gt;0,"ERREUR chevauchement","OK aucun chevauchement")</x:f>
        <x:v>OK aucun chevauchement</x:v>
      </x:c>
      <x:c r="V109" s="24" t="str">
        <x:v>OK aucun chevauchement</x:v>
      </x:c>
      <x:c r="W109" s="24" t="str">
        <x:v>Si ERREUR : déplacer/redimensionner l’objet B ou créer un bookmark/masquage</x:v>
      </x:c>
    </x:row>
    <x:row r="110">
      <x:c r="A110" s="24" t="str">
        <x:v>Performance</x:v>
      </x:c>
      <x:c r="B110" s="24" t="str">
        <x:v>G03_KPI_Row</x:v>
      </x:c>
      <x:c r="C110" s="24" t="str">
        <x:v>KPI_Card_03</x:v>
      </x:c>
      <x:c r="D110" s="24" t="str">
        <x:v>G03_KPI_Row</x:v>
      </x:c>
      <x:c r="E110" s="24" t="str">
        <x:v>KPI_Card_04</x:v>
      </x:c>
      <x:c r="F110" s="25" t="n">
        <x:v>626</x:v>
      </x:c>
      <x:c r="G110" s="25" t="n">
        <x:v>330</x:v>
      </x:c>
      <x:c r="H110" s="25" t="n">
        <x:v>287</x:v>
      </x:c>
      <x:c r="I110" s="25" t="n">
        <x:v>180</x:v>
      </x:c>
      <x:c r="J110" s="25" t="n">
        <x:f>F110+H110</x:f>
        <x:v>913</x:v>
      </x:c>
      <x:c r="K110" s="25" t="n">
        <x:f>G110+I110</x:f>
        <x:v>510</x:v>
      </x:c>
      <x:c r="L110" s="25" t="n">
        <x:v>929</x:v>
      </x:c>
      <x:c r="M110" s="25" t="n">
        <x:v>330</x:v>
      </x:c>
      <x:c r="N110" s="25" t="n">
        <x:v>287</x:v>
      </x:c>
      <x:c r="O110" s="25" t="n">
        <x:v>180</x:v>
      </x:c>
      <x:c r="P110" s="25" t="n">
        <x:f>L110+N110</x:f>
        <x:v>1216</x:v>
      </x:c>
      <x:c r="Q110" s="25" t="n">
        <x:f>M110+O110</x:f>
        <x:v>510</x:v>
      </x:c>
      <x:c r="R110" s="25" t="n">
        <x:f>MAX(0,MIN(J110,P110)-MAX(F110,L110))</x:f>
        <x:v>0</x:v>
      </x:c>
      <x:c r="S110" s="25" t="n">
        <x:f>MAX(0,MIN(K110,Q110)-MAX(G110,M110))</x:f>
        <x:v>180</x:v>
      </x:c>
      <x:c r="T110" s="25" t="n">
        <x:f>R110*S110</x:f>
        <x:v>0</x:v>
      </x:c>
      <x:c r="U110" s="24" t="str">
        <x:f>IF(T110&gt;0,"ERREUR chevauchement","OK aucun chevauchement")</x:f>
        <x:v>OK aucun chevauchement</x:v>
      </x:c>
      <x:c r="V110" s="24" t="str">
        <x:v>OK aucun chevauchement</x:v>
      </x:c>
      <x:c r="W110" s="24" t="str">
        <x:v>Si ERREUR : déplacer/redimensionner l’objet B ou créer un bookmark/masquage</x:v>
      </x:c>
    </x:row>
    <x:row r="111">
      <x:c r="A111" s="24" t="str">
        <x:v>Performance</x:v>
      </x:c>
      <x:c r="B111" s="24" t="str">
        <x:v>G03_KPI_Row</x:v>
      </x:c>
      <x:c r="C111" s="24" t="str">
        <x:v>KPI_Card_03</x:v>
      </x:c>
      <x:c r="D111" s="24" t="str">
        <x:v>G03_KPI_Row</x:v>
      </x:c>
      <x:c r="E111" s="24" t="str">
        <x:v>KPI_Card_05</x:v>
      </x:c>
      <x:c r="F111" s="25" t="n">
        <x:v>626</x:v>
      </x:c>
      <x:c r="G111" s="25" t="n">
        <x:v>330</x:v>
      </x:c>
      <x:c r="H111" s="25" t="n">
        <x:v>287</x:v>
      </x:c>
      <x:c r="I111" s="25" t="n">
        <x:v>180</x:v>
      </x:c>
      <x:c r="J111" s="25" t="n">
        <x:f>F111+H111</x:f>
        <x:v>913</x:v>
      </x:c>
      <x:c r="K111" s="25" t="n">
        <x:f>G111+I111</x:f>
        <x:v>510</x:v>
      </x:c>
      <x:c r="L111" s="25" t="n">
        <x:v>1232</x:v>
      </x:c>
      <x:c r="M111" s="25" t="n">
        <x:v>330</x:v>
      </x:c>
      <x:c r="N111" s="25" t="n">
        <x:v>287</x:v>
      </x:c>
      <x:c r="O111" s="25" t="n">
        <x:v>180</x:v>
      </x:c>
      <x:c r="P111" s="25" t="n">
        <x:f>L111+N111</x:f>
        <x:v>1519</x:v>
      </x:c>
      <x:c r="Q111" s="25" t="n">
        <x:f>M111+O111</x:f>
        <x:v>510</x:v>
      </x:c>
      <x:c r="R111" s="25" t="n">
        <x:f>MAX(0,MIN(J111,P111)-MAX(F111,L111))</x:f>
        <x:v>0</x:v>
      </x:c>
      <x:c r="S111" s="25" t="n">
        <x:f>MAX(0,MIN(K111,Q111)-MAX(G111,M111))</x:f>
        <x:v>180</x:v>
      </x:c>
      <x:c r="T111" s="25" t="n">
        <x:f>R111*S111</x:f>
        <x:v>0</x:v>
      </x:c>
      <x:c r="U111" s="24" t="str">
        <x:f>IF(T111&gt;0,"ERREUR chevauchement","OK aucun chevauchement")</x:f>
        <x:v>OK aucun chevauchement</x:v>
      </x:c>
      <x:c r="V111" s="24" t="str">
        <x:v>OK aucun chevauchement</x:v>
      </x:c>
      <x:c r="W111" s="24" t="str">
        <x:v>Si ERREUR : déplacer/redimensionner l’objet B ou créer un bookmark/masquage</x:v>
      </x:c>
    </x:row>
    <x:row r="112">
      <x:c r="A112" s="24" t="str">
        <x:v>Performance</x:v>
      </x:c>
      <x:c r="B112" s="24" t="str">
        <x:v>G03_KPI_Row</x:v>
      </x:c>
      <x:c r="C112" s="24" t="str">
        <x:v>KPI_Card_03</x:v>
      </x:c>
      <x:c r="D112" s="24" t="str">
        <x:v>G04_Charts_Row</x:v>
      </x:c>
      <x:c r="E112" s="24" t="str">
        <x:v>Line_Affaires</x:v>
      </x:c>
      <x:c r="F112" s="25" t="n">
        <x:v>626</x:v>
      </x:c>
      <x:c r="G112" s="25" t="n">
        <x:v>330</x:v>
      </x:c>
      <x:c r="H112" s="25" t="n">
        <x:v>287</x:v>
      </x:c>
      <x:c r="I112" s="25" t="n">
        <x:v>180</x:v>
      </x:c>
      <x:c r="J112" s="25" t="n">
        <x:f>F112+H112</x:f>
        <x:v>913</x:v>
      </x:c>
      <x:c r="K112" s="25" t="n">
        <x:f>G112+I112</x:f>
        <x:v>510</x:v>
      </x:c>
      <x:c r="L112" s="25" t="n">
        <x:v>20</x:v>
      </x:c>
      <x:c r="M112" s="25" t="n">
        <x:v>535</x:v>
      </x:c>
      <x:c r="N112" s="25" t="n">
        <x:v>490</x:v>
      </x:c>
      <x:c r="O112" s="25" t="n">
        <x:v>380</x:v>
      </x:c>
      <x:c r="P112" s="25" t="n">
        <x:f>L112+N112</x:f>
        <x:v>510</x:v>
      </x:c>
      <x:c r="Q112" s="25" t="n">
        <x:f>M112+O112</x:f>
        <x:v>915</x:v>
      </x:c>
      <x:c r="R112" s="25" t="n">
        <x:f>MAX(0,MIN(J112,P112)-MAX(F112,L112))</x:f>
        <x:v>0</x:v>
      </x:c>
      <x:c r="S112" s="25" t="n">
        <x:f>MAX(0,MIN(K112,Q112)-MAX(G112,M112))</x:f>
        <x:v>0</x:v>
      </x:c>
      <x:c r="T112" s="25" t="n">
        <x:f>R112*S112</x:f>
        <x:v>0</x:v>
      </x:c>
      <x:c r="U112" s="24" t="str">
        <x:f>IF(T112&gt;0,"ERREUR chevauchement","OK aucun chevauchement")</x:f>
        <x:v>OK aucun chevauchement</x:v>
      </x:c>
      <x:c r="V112" s="24" t="str">
        <x:v>OK aucun chevauchement</x:v>
      </x:c>
      <x:c r="W112" s="24" t="str">
        <x:v>Si ERREUR : déplacer/redimensionner l’objet B ou créer un bookmark/masquage</x:v>
      </x:c>
    </x:row>
    <x:row r="113">
      <x:c r="A113" s="24" t="str">
        <x:v>Performance</x:v>
      </x:c>
      <x:c r="B113" s="24" t="str">
        <x:v>G03_KPI_Row</x:v>
      </x:c>
      <x:c r="C113" s="24" t="str">
        <x:v>KPI_Card_03</x:v>
      </x:c>
      <x:c r="D113" s="24" t="str">
        <x:v>G04_Charts_Row</x:v>
      </x:c>
      <x:c r="E113" s="24" t="str">
        <x:v>Bar_Performance</x:v>
      </x:c>
      <x:c r="F113" s="25" t="n">
        <x:v>626</x:v>
      </x:c>
      <x:c r="G113" s="25" t="n">
        <x:v>330</x:v>
      </x:c>
      <x:c r="H113" s="25" t="n">
        <x:v>287</x:v>
      </x:c>
      <x:c r="I113" s="25" t="n">
        <x:v>180</x:v>
      </x:c>
      <x:c r="J113" s="25" t="n">
        <x:f>F113+H113</x:f>
        <x:v>913</x:v>
      </x:c>
      <x:c r="K113" s="25" t="n">
        <x:f>G113+I113</x:f>
        <x:v>510</x:v>
      </x:c>
      <x:c r="L113" s="25" t="n">
        <x:v>526</x:v>
      </x:c>
      <x:c r="M113" s="25" t="n">
        <x:v>535</x:v>
      </x:c>
      <x:c r="N113" s="25" t="n">
        <x:v>490</x:v>
      </x:c>
      <x:c r="O113" s="25" t="n">
        <x:v>380</x:v>
      </x:c>
      <x:c r="P113" s="25" t="n">
        <x:f>L113+N113</x:f>
        <x:v>1016</x:v>
      </x:c>
      <x:c r="Q113" s="25" t="n">
        <x:f>M113+O113</x:f>
        <x:v>915</x:v>
      </x:c>
      <x:c r="R113" s="25" t="n">
        <x:f>MAX(0,MIN(J113,P113)-MAX(F113,L113))</x:f>
        <x:v>287</x:v>
      </x:c>
      <x:c r="S113" s="25" t="n">
        <x:f>MAX(0,MIN(K113,Q113)-MAX(G113,M113))</x:f>
        <x:v>0</x:v>
      </x:c>
      <x:c r="T113" s="25" t="n">
        <x:f>R113*S113</x:f>
        <x:v>0</x:v>
      </x:c>
      <x:c r="U113" s="24" t="str">
        <x:f>IF(T113&gt;0,"ERREUR chevauchement","OK aucun chevauchement")</x:f>
        <x:v>OK aucun chevauchement</x:v>
      </x:c>
      <x:c r="V113" s="24" t="str">
        <x:v>OK aucun chevauchement</x:v>
      </x:c>
      <x:c r="W113" s="24" t="str">
        <x:v>Si ERREUR : déplacer/redimensionner l’objet B ou créer un bookmark/masquage</x:v>
      </x:c>
    </x:row>
    <x:row r="114">
      <x:c r="A114" s="24" t="str">
        <x:v>Performance</x:v>
      </x:c>
      <x:c r="B114" s="24" t="str">
        <x:v>G03_KPI_Row</x:v>
      </x:c>
      <x:c r="C114" s="24" t="str">
        <x:v>KPI_Card_03</x:v>
      </x:c>
      <x:c r="D114" s="24" t="str">
        <x:v>G04_Charts_Row</x:v>
      </x:c>
      <x:c r="E114" s="24" t="str">
        <x:v>Bar_Repartition</x:v>
      </x:c>
      <x:c r="F114" s="25" t="n">
        <x:v>626</x:v>
      </x:c>
      <x:c r="G114" s="25" t="n">
        <x:v>330</x:v>
      </x:c>
      <x:c r="H114" s="25" t="n">
        <x:v>287</x:v>
      </x:c>
      <x:c r="I114" s="25" t="n">
        <x:v>180</x:v>
      </x:c>
      <x:c r="J114" s="25" t="n">
        <x:f>F114+H114</x:f>
        <x:v>913</x:v>
      </x:c>
      <x:c r="K114" s="25" t="n">
        <x:f>G114+I114</x:f>
        <x:v>510</x:v>
      </x:c>
      <x:c r="L114" s="25" t="n">
        <x:v>1032</x:v>
      </x:c>
      <x:c r="M114" s="25" t="n">
        <x:v>535</x:v>
      </x:c>
      <x:c r="N114" s="25" t="n">
        <x:v>488</x:v>
      </x:c>
      <x:c r="O114" s="25" t="n">
        <x:v>380</x:v>
      </x:c>
      <x:c r="P114" s="25" t="n">
        <x:f>L114+N114</x:f>
        <x:v>1520</x:v>
      </x:c>
      <x:c r="Q114" s="25" t="n">
        <x:f>M114+O114</x:f>
        <x:v>915</x:v>
      </x:c>
      <x:c r="R114" s="25" t="n">
        <x:f>MAX(0,MIN(J114,P114)-MAX(F114,L114))</x:f>
        <x:v>0</x:v>
      </x:c>
      <x:c r="S114" s="25" t="n">
        <x:f>MAX(0,MIN(K114,Q114)-MAX(G114,M114))</x:f>
        <x:v>0</x:v>
      </x:c>
      <x:c r="T114" s="25" t="n">
        <x:f>R114*S114</x:f>
        <x:v>0</x:v>
      </x:c>
      <x:c r="U114" s="24" t="str">
        <x:f>IF(T114&gt;0,"ERREUR chevauchement","OK aucun chevauchement")</x:f>
        <x:v>OK aucun chevauchement</x:v>
      </x:c>
      <x:c r="V114" s="24" t="str">
        <x:v>OK aucun chevauchement</x:v>
      </x:c>
      <x:c r="W114" s="24" t="str">
        <x:v>Si ERREUR : déplacer/redimensionner l’objet B ou créer un bookmark/masquage</x:v>
      </x:c>
    </x:row>
    <x:row r="115">
      <x:c r="A115" s="24" t="str">
        <x:v>Performance</x:v>
      </x:c>
      <x:c r="B115" s="24" t="str">
        <x:v>G03_KPI_Row</x:v>
      </x:c>
      <x:c r="C115" s="24" t="str">
        <x:v>KPI_Card_04</x:v>
      </x:c>
      <x:c r="D115" s="24" t="str">
        <x:v>G03_KPI_Row</x:v>
      </x:c>
      <x:c r="E115" s="24" t="str">
        <x:v>KPI_Card_05</x:v>
      </x:c>
      <x:c r="F115" s="25" t="n">
        <x:v>929</x:v>
      </x:c>
      <x:c r="G115" s="25" t="n">
        <x:v>330</x:v>
      </x:c>
      <x:c r="H115" s="25" t="n">
        <x:v>287</x:v>
      </x:c>
      <x:c r="I115" s="25" t="n">
        <x:v>180</x:v>
      </x:c>
      <x:c r="J115" s="25" t="n">
        <x:f>F115+H115</x:f>
        <x:v>1216</x:v>
      </x:c>
      <x:c r="K115" s="25" t="n">
        <x:f>G115+I115</x:f>
        <x:v>510</x:v>
      </x:c>
      <x:c r="L115" s="25" t="n">
        <x:v>1232</x:v>
      </x:c>
      <x:c r="M115" s="25" t="n">
        <x:v>330</x:v>
      </x:c>
      <x:c r="N115" s="25" t="n">
        <x:v>287</x:v>
      </x:c>
      <x:c r="O115" s="25" t="n">
        <x:v>180</x:v>
      </x:c>
      <x:c r="P115" s="25" t="n">
        <x:f>L115+N115</x:f>
        <x:v>1519</x:v>
      </x:c>
      <x:c r="Q115" s="25" t="n">
        <x:f>M115+O115</x:f>
        <x:v>510</x:v>
      </x:c>
      <x:c r="R115" s="25" t="n">
        <x:f>MAX(0,MIN(J115,P115)-MAX(F115,L115))</x:f>
        <x:v>0</x:v>
      </x:c>
      <x:c r="S115" s="25" t="n">
        <x:f>MAX(0,MIN(K115,Q115)-MAX(G115,M115))</x:f>
        <x:v>180</x:v>
      </x:c>
      <x:c r="T115" s="25" t="n">
        <x:f>R115*S115</x:f>
        <x:v>0</x:v>
      </x:c>
      <x:c r="U115" s="24" t="str">
        <x:f>IF(T115&gt;0,"ERREUR chevauchement","OK aucun chevauchement")</x:f>
        <x:v>OK aucun chevauchement</x:v>
      </x:c>
      <x:c r="V115" s="24" t="str">
        <x:v>OK aucun chevauchement</x:v>
      </x:c>
      <x:c r="W115" s="24" t="str">
        <x:v>Si ERREUR : déplacer/redimensionner l’objet B ou créer un bookmark/masquage</x:v>
      </x:c>
    </x:row>
    <x:row r="116">
      <x:c r="A116" s="24" t="str">
        <x:v>Performance</x:v>
      </x:c>
      <x:c r="B116" s="24" t="str">
        <x:v>G03_KPI_Row</x:v>
      </x:c>
      <x:c r="C116" s="24" t="str">
        <x:v>KPI_Card_04</x:v>
      </x:c>
      <x:c r="D116" s="24" t="str">
        <x:v>G04_Charts_Row</x:v>
      </x:c>
      <x:c r="E116" s="24" t="str">
        <x:v>Line_Affaires</x:v>
      </x:c>
      <x:c r="F116" s="25" t="n">
        <x:v>929</x:v>
      </x:c>
      <x:c r="G116" s="25" t="n">
        <x:v>330</x:v>
      </x:c>
      <x:c r="H116" s="25" t="n">
        <x:v>287</x:v>
      </x:c>
      <x:c r="I116" s="25" t="n">
        <x:v>180</x:v>
      </x:c>
      <x:c r="J116" s="25" t="n">
        <x:f>F116+H116</x:f>
        <x:v>1216</x:v>
      </x:c>
      <x:c r="K116" s="25" t="n">
        <x:f>G116+I116</x:f>
        <x:v>510</x:v>
      </x:c>
      <x:c r="L116" s="25" t="n">
        <x:v>20</x:v>
      </x:c>
      <x:c r="M116" s="25" t="n">
        <x:v>535</x:v>
      </x:c>
      <x:c r="N116" s="25" t="n">
        <x:v>490</x:v>
      </x:c>
      <x:c r="O116" s="25" t="n">
        <x:v>380</x:v>
      </x:c>
      <x:c r="P116" s="25" t="n">
        <x:f>L116+N116</x:f>
        <x:v>510</x:v>
      </x:c>
      <x:c r="Q116" s="25" t="n">
        <x:f>M116+O116</x:f>
        <x:v>915</x:v>
      </x:c>
      <x:c r="R116" s="25" t="n">
        <x:f>MAX(0,MIN(J116,P116)-MAX(F116,L116))</x:f>
        <x:v>0</x:v>
      </x:c>
      <x:c r="S116" s="25" t="n">
        <x:f>MAX(0,MIN(K116,Q116)-MAX(G116,M116))</x:f>
        <x:v>0</x:v>
      </x:c>
      <x:c r="T116" s="25" t="n">
        <x:f>R116*S116</x:f>
        <x:v>0</x:v>
      </x:c>
      <x:c r="U116" s="24" t="str">
        <x:f>IF(T116&gt;0,"ERREUR chevauchement","OK aucun chevauchement")</x:f>
        <x:v>OK aucun chevauchement</x:v>
      </x:c>
      <x:c r="V116" s="24" t="str">
        <x:v>OK aucun chevauchement</x:v>
      </x:c>
      <x:c r="W116" s="24" t="str">
        <x:v>Si ERREUR : déplacer/redimensionner l’objet B ou créer un bookmark/masquage</x:v>
      </x:c>
    </x:row>
    <x:row r="117">
      <x:c r="A117" s="24" t="str">
        <x:v>Performance</x:v>
      </x:c>
      <x:c r="B117" s="24" t="str">
        <x:v>G03_KPI_Row</x:v>
      </x:c>
      <x:c r="C117" s="24" t="str">
        <x:v>KPI_Card_04</x:v>
      </x:c>
      <x:c r="D117" s="24" t="str">
        <x:v>G04_Charts_Row</x:v>
      </x:c>
      <x:c r="E117" s="24" t="str">
        <x:v>Bar_Performance</x:v>
      </x:c>
      <x:c r="F117" s="25" t="n">
        <x:v>929</x:v>
      </x:c>
      <x:c r="G117" s="25" t="n">
        <x:v>330</x:v>
      </x:c>
      <x:c r="H117" s="25" t="n">
        <x:v>287</x:v>
      </x:c>
      <x:c r="I117" s="25" t="n">
        <x:v>180</x:v>
      </x:c>
      <x:c r="J117" s="25" t="n">
        <x:f>F117+H117</x:f>
        <x:v>1216</x:v>
      </x:c>
      <x:c r="K117" s="25" t="n">
        <x:f>G117+I117</x:f>
        <x:v>510</x:v>
      </x:c>
      <x:c r="L117" s="25" t="n">
        <x:v>526</x:v>
      </x:c>
      <x:c r="M117" s="25" t="n">
        <x:v>535</x:v>
      </x:c>
      <x:c r="N117" s="25" t="n">
        <x:v>490</x:v>
      </x:c>
      <x:c r="O117" s="25" t="n">
        <x:v>380</x:v>
      </x:c>
      <x:c r="P117" s="25" t="n">
        <x:f>L117+N117</x:f>
        <x:v>1016</x:v>
      </x:c>
      <x:c r="Q117" s="25" t="n">
        <x:f>M117+O117</x:f>
        <x:v>915</x:v>
      </x:c>
      <x:c r="R117" s="25" t="n">
        <x:f>MAX(0,MIN(J117,P117)-MAX(F117,L117))</x:f>
        <x:v>87</x:v>
      </x:c>
      <x:c r="S117" s="25" t="n">
        <x:f>MAX(0,MIN(K117,Q117)-MAX(G117,M117))</x:f>
        <x:v>0</x:v>
      </x:c>
      <x:c r="T117" s="25" t="n">
        <x:f>R117*S117</x:f>
        <x:v>0</x:v>
      </x:c>
      <x:c r="U117" s="24" t="str">
        <x:f>IF(T117&gt;0,"ERREUR chevauchement","OK aucun chevauchement")</x:f>
        <x:v>OK aucun chevauchement</x:v>
      </x:c>
      <x:c r="V117" s="24" t="str">
        <x:v>OK aucun chevauchement</x:v>
      </x:c>
      <x:c r="W117" s="24" t="str">
        <x:v>Si ERREUR : déplacer/redimensionner l’objet B ou créer un bookmark/masquage</x:v>
      </x:c>
    </x:row>
    <x:row r="118">
      <x:c r="A118" s="24" t="str">
        <x:v>Performance</x:v>
      </x:c>
      <x:c r="B118" s="24" t="str">
        <x:v>G03_KPI_Row</x:v>
      </x:c>
      <x:c r="C118" s="24" t="str">
        <x:v>KPI_Card_04</x:v>
      </x:c>
      <x:c r="D118" s="24" t="str">
        <x:v>G04_Charts_Row</x:v>
      </x:c>
      <x:c r="E118" s="24" t="str">
        <x:v>Bar_Repartition</x:v>
      </x:c>
      <x:c r="F118" s="25" t="n">
        <x:v>929</x:v>
      </x:c>
      <x:c r="G118" s="25" t="n">
        <x:v>330</x:v>
      </x:c>
      <x:c r="H118" s="25" t="n">
        <x:v>287</x:v>
      </x:c>
      <x:c r="I118" s="25" t="n">
        <x:v>180</x:v>
      </x:c>
      <x:c r="J118" s="25" t="n">
        <x:f>F118+H118</x:f>
        <x:v>1216</x:v>
      </x:c>
      <x:c r="K118" s="25" t="n">
        <x:f>G118+I118</x:f>
        <x:v>510</x:v>
      </x:c>
      <x:c r="L118" s="25" t="n">
        <x:v>1032</x:v>
      </x:c>
      <x:c r="M118" s="25" t="n">
        <x:v>535</x:v>
      </x:c>
      <x:c r="N118" s="25" t="n">
        <x:v>488</x:v>
      </x:c>
      <x:c r="O118" s="25" t="n">
        <x:v>380</x:v>
      </x:c>
      <x:c r="P118" s="25" t="n">
        <x:f>L118+N118</x:f>
        <x:v>1520</x:v>
      </x:c>
      <x:c r="Q118" s="25" t="n">
        <x:f>M118+O118</x:f>
        <x:v>915</x:v>
      </x:c>
      <x:c r="R118" s="25" t="n">
        <x:f>MAX(0,MIN(J118,P118)-MAX(F118,L118))</x:f>
        <x:v>184</x:v>
      </x:c>
      <x:c r="S118" s="25" t="n">
        <x:f>MAX(0,MIN(K118,Q118)-MAX(G118,M118))</x:f>
        <x:v>0</x:v>
      </x:c>
      <x:c r="T118" s="25" t="n">
        <x:f>R118*S118</x:f>
        <x:v>0</x:v>
      </x:c>
      <x:c r="U118" s="24" t="str">
        <x:f>IF(T118&gt;0,"ERREUR chevauchement","OK aucun chevauchement")</x:f>
        <x:v>OK aucun chevauchement</x:v>
      </x:c>
      <x:c r="V118" s="24" t="str">
        <x:v>OK aucun chevauchement</x:v>
      </x:c>
      <x:c r="W118" s="24" t="str">
        <x:v>Si ERREUR : déplacer/redimensionner l’objet B ou créer un bookmark/masquage</x:v>
      </x:c>
    </x:row>
    <x:row r="119">
      <x:c r="A119" s="24" t="str">
        <x:v>Performance</x:v>
      </x:c>
      <x:c r="B119" s="24" t="str">
        <x:v>G03_KPI_Row</x:v>
      </x:c>
      <x:c r="C119" s="24" t="str">
        <x:v>KPI_Card_05</x:v>
      </x:c>
      <x:c r="D119" s="24" t="str">
        <x:v>G04_Charts_Row</x:v>
      </x:c>
      <x:c r="E119" s="24" t="str">
        <x:v>Line_Affaires</x:v>
      </x:c>
      <x:c r="F119" s="25" t="n">
        <x:v>1232</x:v>
      </x:c>
      <x:c r="G119" s="25" t="n">
        <x:v>330</x:v>
      </x:c>
      <x:c r="H119" s="25" t="n">
        <x:v>287</x:v>
      </x:c>
      <x:c r="I119" s="25" t="n">
        <x:v>180</x:v>
      </x:c>
      <x:c r="J119" s="25" t="n">
        <x:f>F119+H119</x:f>
        <x:v>1519</x:v>
      </x:c>
      <x:c r="K119" s="25" t="n">
        <x:f>G119+I119</x:f>
        <x:v>510</x:v>
      </x:c>
      <x:c r="L119" s="25" t="n">
        <x:v>20</x:v>
      </x:c>
      <x:c r="M119" s="25" t="n">
        <x:v>535</x:v>
      </x:c>
      <x:c r="N119" s="25" t="n">
        <x:v>490</x:v>
      </x:c>
      <x:c r="O119" s="25" t="n">
        <x:v>380</x:v>
      </x:c>
      <x:c r="P119" s="25" t="n">
        <x:f>L119+N119</x:f>
        <x:v>510</x:v>
      </x:c>
      <x:c r="Q119" s="25" t="n">
        <x:f>M119+O119</x:f>
        <x:v>915</x:v>
      </x:c>
      <x:c r="R119" s="25" t="n">
        <x:f>MAX(0,MIN(J119,P119)-MAX(F119,L119))</x:f>
        <x:v>0</x:v>
      </x:c>
      <x:c r="S119" s="25" t="n">
        <x:f>MAX(0,MIN(K119,Q119)-MAX(G119,M119))</x:f>
        <x:v>0</x:v>
      </x:c>
      <x:c r="T119" s="25" t="n">
        <x:f>R119*S119</x:f>
        <x:v>0</x:v>
      </x:c>
      <x:c r="U119" s="24" t="str">
        <x:f>IF(T119&gt;0,"ERREUR chevauchement","OK aucun chevauchement")</x:f>
        <x:v>OK aucun chevauchement</x:v>
      </x:c>
      <x:c r="V119" s="24" t="str">
        <x:v>OK aucun chevauchement</x:v>
      </x:c>
      <x:c r="W119" s="24" t="str">
        <x:v>Si ERREUR : déplacer/redimensionner l’objet B ou créer un bookmark/masquage</x:v>
      </x:c>
    </x:row>
    <x:row r="120">
      <x:c r="A120" s="24" t="str">
        <x:v>Performance</x:v>
      </x:c>
      <x:c r="B120" s="24" t="str">
        <x:v>G03_KPI_Row</x:v>
      </x:c>
      <x:c r="C120" s="24" t="str">
        <x:v>KPI_Card_05</x:v>
      </x:c>
      <x:c r="D120" s="24" t="str">
        <x:v>G04_Charts_Row</x:v>
      </x:c>
      <x:c r="E120" s="24" t="str">
        <x:v>Bar_Performance</x:v>
      </x:c>
      <x:c r="F120" s="25" t="n">
        <x:v>1232</x:v>
      </x:c>
      <x:c r="G120" s="25" t="n">
        <x:v>330</x:v>
      </x:c>
      <x:c r="H120" s="25" t="n">
        <x:v>287</x:v>
      </x:c>
      <x:c r="I120" s="25" t="n">
        <x:v>180</x:v>
      </x:c>
      <x:c r="J120" s="25" t="n">
        <x:f>F120+H120</x:f>
        <x:v>1519</x:v>
      </x:c>
      <x:c r="K120" s="25" t="n">
        <x:f>G120+I120</x:f>
        <x:v>510</x:v>
      </x:c>
      <x:c r="L120" s="25" t="n">
        <x:v>526</x:v>
      </x:c>
      <x:c r="M120" s="25" t="n">
        <x:v>535</x:v>
      </x:c>
      <x:c r="N120" s="25" t="n">
        <x:v>490</x:v>
      </x:c>
      <x:c r="O120" s="25" t="n">
        <x:v>380</x:v>
      </x:c>
      <x:c r="P120" s="25" t="n">
        <x:f>L120+N120</x:f>
        <x:v>1016</x:v>
      </x:c>
      <x:c r="Q120" s="25" t="n">
        <x:f>M120+O120</x:f>
        <x:v>915</x:v>
      </x:c>
      <x:c r="R120" s="25" t="n">
        <x:f>MAX(0,MIN(J120,P120)-MAX(F120,L120))</x:f>
        <x:v>0</x:v>
      </x:c>
      <x:c r="S120" s="25" t="n">
        <x:f>MAX(0,MIN(K120,Q120)-MAX(G120,M120))</x:f>
        <x:v>0</x:v>
      </x:c>
      <x:c r="T120" s="25" t="n">
        <x:f>R120*S120</x:f>
        <x:v>0</x:v>
      </x:c>
      <x:c r="U120" s="24" t="str">
        <x:f>IF(T120&gt;0,"ERREUR chevauchement","OK aucun chevauchement")</x:f>
        <x:v>OK aucun chevauchement</x:v>
      </x:c>
      <x:c r="V120" s="24" t="str">
        <x:v>OK aucun chevauchement</x:v>
      </x:c>
      <x:c r="W120" s="24" t="str">
        <x:v>Si ERREUR : déplacer/redimensionner l’objet B ou créer un bookmark/masquage</x:v>
      </x:c>
    </x:row>
    <x:row r="121">
      <x:c r="A121" s="24" t="str">
        <x:v>Performance</x:v>
      </x:c>
      <x:c r="B121" s="24" t="str">
        <x:v>G03_KPI_Row</x:v>
      </x:c>
      <x:c r="C121" s="24" t="str">
        <x:v>KPI_Card_05</x:v>
      </x:c>
      <x:c r="D121" s="24" t="str">
        <x:v>G04_Charts_Row</x:v>
      </x:c>
      <x:c r="E121" s="24" t="str">
        <x:v>Bar_Repartition</x:v>
      </x:c>
      <x:c r="F121" s="25" t="n">
        <x:v>1232</x:v>
      </x:c>
      <x:c r="G121" s="25" t="n">
        <x:v>330</x:v>
      </x:c>
      <x:c r="H121" s="25" t="n">
        <x:v>287</x:v>
      </x:c>
      <x:c r="I121" s="25" t="n">
        <x:v>180</x:v>
      </x:c>
      <x:c r="J121" s="25" t="n">
        <x:f>F121+H121</x:f>
        <x:v>1519</x:v>
      </x:c>
      <x:c r="K121" s="25" t="n">
        <x:f>G121+I121</x:f>
        <x:v>510</x:v>
      </x:c>
      <x:c r="L121" s="25" t="n">
        <x:v>1032</x:v>
      </x:c>
      <x:c r="M121" s="25" t="n">
        <x:v>535</x:v>
      </x:c>
      <x:c r="N121" s="25" t="n">
        <x:v>488</x:v>
      </x:c>
      <x:c r="O121" s="25" t="n">
        <x:v>380</x:v>
      </x:c>
      <x:c r="P121" s="25" t="n">
        <x:f>L121+N121</x:f>
        <x:v>1520</x:v>
      </x:c>
      <x:c r="Q121" s="25" t="n">
        <x:f>M121+O121</x:f>
        <x:v>915</x:v>
      </x:c>
      <x:c r="R121" s="25" t="n">
        <x:f>MAX(0,MIN(J121,P121)-MAX(F121,L121))</x:f>
        <x:v>287</x:v>
      </x:c>
      <x:c r="S121" s="25" t="n">
        <x:f>MAX(0,MIN(K121,Q121)-MAX(G121,M121))</x:f>
        <x:v>0</x:v>
      </x:c>
      <x:c r="T121" s="25" t="n">
        <x:f>R121*S121</x:f>
        <x:v>0</x:v>
      </x:c>
      <x:c r="U121" s="24" t="str">
        <x:f>IF(T121&gt;0,"ERREUR chevauchement","OK aucun chevauchement")</x:f>
        <x:v>OK aucun chevauchement</x:v>
      </x:c>
      <x:c r="V121" s="24" t="str">
        <x:v>OK aucun chevauchement</x:v>
      </x:c>
      <x:c r="W121" s="24" t="str">
        <x:v>Si ERREUR : déplacer/redimensionner l’objet B ou créer un bookmark/masquage</x:v>
      </x:c>
    </x:row>
    <x:row r="122">
      <x:c r="A122" s="24" t="str">
        <x:v>Affaires</x:v>
      </x:c>
      <x:c r="B122" s="24" t="str">
        <x:v>G00_Header_Global</x:v>
      </x:c>
      <x:c r="C122" s="24" t="str">
        <x:v>Header_Global</x:v>
      </x:c>
      <x:c r="D122" s="24" t="str">
        <x:v>G01_Title_Zone</x:v>
      </x:c>
      <x:c r="E122" s="24" t="str">
        <x:v>Title_Zone</x:v>
      </x:c>
      <x:c r="F122" s="25" t="n">
        <x:v>0</x:v>
      </x:c>
      <x:c r="G122" s="25" t="n">
        <x:v>0</x:v>
      </x:c>
      <x:c r="H122" s="25" t="n">
        <x:v>1540</x:v>
      </x:c>
      <x:c r="I122" s="25" t="n">
        <x:v>88</x:v>
      </x:c>
      <x:c r="J122" s="25" t="n">
        <x:f>F122+H122</x:f>
        <x:v>1540</x:v>
      </x:c>
      <x:c r="K122" s="25" t="n">
        <x:f>G122+I122</x:f>
        <x:v>88</x:v>
      </x:c>
      <x:c r="L122" s="25" t="n">
        <x:v>20</x:v>
      </x:c>
      <x:c r="M122" s="25" t="n">
        <x:v>110</x:v>
      </x:c>
      <x:c r="N122" s="25" t="n">
        <x:v>1500</x:v>
      </x:c>
      <x:c r="O122" s="25" t="n">
        <x:v>132</x:v>
      </x:c>
      <x:c r="P122" s="25" t="n">
        <x:f>L122+N122</x:f>
        <x:v>1520</x:v>
      </x:c>
      <x:c r="Q122" s="25" t="n">
        <x:f>M122+O122</x:f>
        <x:v>242</x:v>
      </x:c>
      <x:c r="R122" s="25" t="n">
        <x:f>MAX(0,MIN(J122,P122)-MAX(F122,L122))</x:f>
        <x:v>1500</x:v>
      </x:c>
      <x:c r="S122" s="25" t="n">
        <x:f>MAX(0,MIN(K122,Q122)-MAX(G122,M122))</x:f>
        <x:v>0</x:v>
      </x:c>
      <x:c r="T122" s="25" t="n">
        <x:f>R122*S122</x:f>
        <x:v>0</x:v>
      </x:c>
      <x:c r="U122" s="24" t="str">
        <x:f>IF(T122&gt;0,"ERREUR chevauchement","OK aucun chevauchement")</x:f>
        <x:v>OK aucun chevauchement</x:v>
      </x:c>
      <x:c r="V122" s="24" t="str">
        <x:v>OK aucun chevauchement</x:v>
      </x:c>
      <x:c r="W122" s="24" t="str">
        <x:v>Si ERREUR : déplacer/redimensionner l’objet B ou créer un bookmark/masquage</x:v>
      </x:c>
    </x:row>
    <x:row r="123">
      <x:c r="A123" s="24" t="str">
        <x:v>Affaires</x:v>
      </x:c>
      <x:c r="B123" s="24" t="str">
        <x:v>G00_Header_Global</x:v>
      </x:c>
      <x:c r="C123" s="24" t="str">
        <x:v>Header_Global</x:v>
      </x:c>
      <x:c r="D123" s="24" t="str">
        <x:v>G02_Toolbar</x:v>
      </x:c>
      <x:c r="E123" s="24" t="str">
        <x:v>Toolbar_Slicers_FieldParams</x:v>
      </x:c>
      <x:c r="F123" s="25" t="n">
        <x:v>0</x:v>
      </x:c>
      <x:c r="G123" s="25" t="n">
        <x:v>0</x:v>
      </x:c>
      <x:c r="H123" s="25" t="n">
        <x:v>1540</x:v>
      </x:c>
      <x:c r="I123" s="25" t="n">
        <x:v>88</x:v>
      </x:c>
      <x:c r="J123" s="25" t="n">
        <x:f>F123+H123</x:f>
        <x:v>1540</x:v>
      </x:c>
      <x:c r="K123" s="25" t="n">
        <x:f>G123+I123</x:f>
        <x:v>88</x:v>
      </x:c>
      <x:c r="L123" s="25" t="n">
        <x:v>20</x:v>
      </x:c>
      <x:c r="M123" s="25" t="n">
        <x:v>260</x:v>
      </x:c>
      <x:c r="N123" s="25" t="n">
        <x:v>1500</x:v>
      </x:c>
      <x:c r="O123" s="25" t="n">
        <x:v>56</x:v>
      </x:c>
      <x:c r="P123" s="25" t="n">
        <x:f>L123+N123</x:f>
        <x:v>1520</x:v>
      </x:c>
      <x:c r="Q123" s="25" t="n">
        <x:f>M123+O123</x:f>
        <x:v>316</x:v>
      </x:c>
      <x:c r="R123" s="25" t="n">
        <x:f>MAX(0,MIN(J123,P123)-MAX(F123,L123))</x:f>
        <x:v>1500</x:v>
      </x:c>
      <x:c r="S123" s="25" t="n">
        <x:f>MAX(0,MIN(K123,Q123)-MAX(G123,M123))</x:f>
        <x:v>0</x:v>
      </x:c>
      <x:c r="T123" s="25" t="n">
        <x:f>R123*S123</x:f>
        <x:v>0</x:v>
      </x:c>
      <x:c r="U123" s="24" t="str">
        <x:f>IF(T123&gt;0,"ERREUR chevauchement","OK aucun chevauchement")</x:f>
        <x:v>OK aucun chevauchement</x:v>
      </x:c>
      <x:c r="V123" s="24" t="str">
        <x:v>OK aucun chevauchement</x:v>
      </x:c>
      <x:c r="W123" s="24" t="str">
        <x:v>Si ERREUR : déplacer/redimensionner l’objet B ou créer un bookmark/masquage</x:v>
      </x:c>
    </x:row>
    <x:row r="124">
      <x:c r="A124" s="24" t="str">
        <x:v>Affaires</x:v>
      </x:c>
      <x:c r="B124" s="24" t="str">
        <x:v>G00_Header_Global</x:v>
      </x:c>
      <x:c r="C124" s="24" t="str">
        <x:v>Header_Global</x:v>
      </x:c>
      <x:c r="D124" s="24" t="str">
        <x:v>G03_KPI_Row</x:v>
      </x:c>
      <x:c r="E124" s="24" t="str">
        <x:v>KPI_Card_01</x:v>
      </x:c>
      <x:c r="F124" s="25" t="n">
        <x:v>0</x:v>
      </x:c>
      <x:c r="G124" s="25" t="n">
        <x:v>0</x:v>
      </x:c>
      <x:c r="H124" s="25" t="n">
        <x:v>1540</x:v>
      </x:c>
      <x:c r="I124" s="25" t="n">
        <x:v>88</x:v>
      </x:c>
      <x:c r="J124" s="25" t="n">
        <x:f>F124+H124</x:f>
        <x:v>1540</x:v>
      </x:c>
      <x:c r="K124" s="25" t="n">
        <x:f>G124+I124</x:f>
        <x:v>88</x:v>
      </x:c>
      <x:c r="L124" s="25" t="n">
        <x:v>20</x:v>
      </x:c>
      <x:c r="M124" s="25" t="n">
        <x:v>330</x:v>
      </x:c>
      <x:c r="N124" s="25" t="n">
        <x:v>287</x:v>
      </x:c>
      <x:c r="O124" s="25" t="n">
        <x:v>180</x:v>
      </x:c>
      <x:c r="P124" s="25" t="n">
        <x:f>L124+N124</x:f>
        <x:v>307</x:v>
      </x:c>
      <x:c r="Q124" s="25" t="n">
        <x:f>M124+O124</x:f>
        <x:v>510</x:v>
      </x:c>
      <x:c r="R124" s="25" t="n">
        <x:f>MAX(0,MIN(J124,P124)-MAX(F124,L124))</x:f>
        <x:v>287</x:v>
      </x:c>
      <x:c r="S124" s="25" t="n">
        <x:f>MAX(0,MIN(K124,Q124)-MAX(G124,M124))</x:f>
        <x:v>0</x:v>
      </x:c>
      <x:c r="T124" s="25" t="n">
        <x:f>R124*S124</x:f>
        <x:v>0</x:v>
      </x:c>
      <x:c r="U124" s="24" t="str">
        <x:f>IF(T124&gt;0,"ERREUR chevauchement","OK aucun chevauchement")</x:f>
        <x:v>OK aucun chevauchement</x:v>
      </x:c>
      <x:c r="V124" s="24" t="str">
        <x:v>OK aucun chevauchement</x:v>
      </x:c>
      <x:c r="W124" s="24" t="str">
        <x:v>Si ERREUR : déplacer/redimensionner l’objet B ou créer un bookmark/masquage</x:v>
      </x:c>
    </x:row>
    <x:row r="125">
      <x:c r="A125" s="24" t="str">
        <x:v>Affaires</x:v>
      </x:c>
      <x:c r="B125" s="24" t="str">
        <x:v>G00_Header_Global</x:v>
      </x:c>
      <x:c r="C125" s="24" t="str">
        <x:v>Header_Global</x:v>
      </x:c>
      <x:c r="D125" s="24" t="str">
        <x:v>G03_KPI_Row</x:v>
      </x:c>
      <x:c r="E125" s="24" t="str">
        <x:v>KPI_Card_02</x:v>
      </x:c>
      <x:c r="F125" s="25" t="n">
        <x:v>0</x:v>
      </x:c>
      <x:c r="G125" s="25" t="n">
        <x:v>0</x:v>
      </x:c>
      <x:c r="H125" s="25" t="n">
        <x:v>1540</x:v>
      </x:c>
      <x:c r="I125" s="25" t="n">
        <x:v>88</x:v>
      </x:c>
      <x:c r="J125" s="25" t="n">
        <x:f>F125+H125</x:f>
        <x:v>1540</x:v>
      </x:c>
      <x:c r="K125" s="25" t="n">
        <x:f>G125+I125</x:f>
        <x:v>88</x:v>
      </x:c>
      <x:c r="L125" s="25" t="n">
        <x:v>323</x:v>
      </x:c>
      <x:c r="M125" s="25" t="n">
        <x:v>330</x:v>
      </x:c>
      <x:c r="N125" s="25" t="n">
        <x:v>287</x:v>
      </x:c>
      <x:c r="O125" s="25" t="n">
        <x:v>180</x:v>
      </x:c>
      <x:c r="P125" s="25" t="n">
        <x:f>L125+N125</x:f>
        <x:v>610</x:v>
      </x:c>
      <x:c r="Q125" s="25" t="n">
        <x:f>M125+O125</x:f>
        <x:v>510</x:v>
      </x:c>
      <x:c r="R125" s="25" t="n">
        <x:f>MAX(0,MIN(J125,P125)-MAX(F125,L125))</x:f>
        <x:v>287</x:v>
      </x:c>
      <x:c r="S125" s="25" t="n">
        <x:f>MAX(0,MIN(K125,Q125)-MAX(G125,M125))</x:f>
        <x:v>0</x:v>
      </x:c>
      <x:c r="T125" s="25" t="n">
        <x:f>R125*S125</x:f>
        <x:v>0</x:v>
      </x:c>
      <x:c r="U125" s="24" t="str">
        <x:f>IF(T125&gt;0,"ERREUR chevauchement","OK aucun chevauchement")</x:f>
        <x:v>OK aucun chevauchement</x:v>
      </x:c>
      <x:c r="V125" s="24" t="str">
        <x:v>OK aucun chevauchement</x:v>
      </x:c>
      <x:c r="W125" s="24" t="str">
        <x:v>Si ERREUR : déplacer/redimensionner l’objet B ou créer un bookmark/masquage</x:v>
      </x:c>
    </x:row>
    <x:row r="126">
      <x:c r="A126" s="24" t="str">
        <x:v>Affaires</x:v>
      </x:c>
      <x:c r="B126" s="24" t="str">
        <x:v>G00_Header_Global</x:v>
      </x:c>
      <x:c r="C126" s="24" t="str">
        <x:v>Header_Global</x:v>
      </x:c>
      <x:c r="D126" s="24" t="str">
        <x:v>G03_KPI_Row</x:v>
      </x:c>
      <x:c r="E126" s="24" t="str">
        <x:v>KPI_Card_03</x:v>
      </x:c>
      <x:c r="F126" s="25" t="n">
        <x:v>0</x:v>
      </x:c>
      <x:c r="G126" s="25" t="n">
        <x:v>0</x:v>
      </x:c>
      <x:c r="H126" s="25" t="n">
        <x:v>1540</x:v>
      </x:c>
      <x:c r="I126" s="25" t="n">
        <x:v>88</x:v>
      </x:c>
      <x:c r="J126" s="25" t="n">
        <x:f>F126+H126</x:f>
        <x:v>1540</x:v>
      </x:c>
      <x:c r="K126" s="25" t="n">
        <x:f>G126+I126</x:f>
        <x:v>88</x:v>
      </x:c>
      <x:c r="L126" s="25" t="n">
        <x:v>626</x:v>
      </x:c>
      <x:c r="M126" s="25" t="n">
        <x:v>330</x:v>
      </x:c>
      <x:c r="N126" s="25" t="n">
        <x:v>287</x:v>
      </x:c>
      <x:c r="O126" s="25" t="n">
        <x:v>180</x:v>
      </x:c>
      <x:c r="P126" s="25" t="n">
        <x:f>L126+N126</x:f>
        <x:v>913</x:v>
      </x:c>
      <x:c r="Q126" s="25" t="n">
        <x:f>M126+O126</x:f>
        <x:v>510</x:v>
      </x:c>
      <x:c r="R126" s="25" t="n">
        <x:f>MAX(0,MIN(J126,P126)-MAX(F126,L126))</x:f>
        <x:v>287</x:v>
      </x:c>
      <x:c r="S126" s="25" t="n">
        <x:f>MAX(0,MIN(K126,Q126)-MAX(G126,M126))</x:f>
        <x:v>0</x:v>
      </x:c>
      <x:c r="T126" s="25" t="n">
        <x:f>R126*S126</x:f>
        <x:v>0</x:v>
      </x:c>
      <x:c r="U126" s="24" t="str">
        <x:f>IF(T126&gt;0,"ERREUR chevauchement","OK aucun chevauchement")</x:f>
        <x:v>OK aucun chevauchement</x:v>
      </x:c>
      <x:c r="V126" s="24" t="str">
        <x:v>OK aucun chevauchement</x:v>
      </x:c>
      <x:c r="W126" s="24" t="str">
        <x:v>Si ERREUR : déplacer/redimensionner l’objet B ou créer un bookmark/masquage</x:v>
      </x:c>
    </x:row>
    <x:row r="127">
      <x:c r="A127" s="24" t="str">
        <x:v>Affaires</x:v>
      </x:c>
      <x:c r="B127" s="24" t="str">
        <x:v>G00_Header_Global</x:v>
      </x:c>
      <x:c r="C127" s="24" t="str">
        <x:v>Header_Global</x:v>
      </x:c>
      <x:c r="D127" s="24" t="str">
        <x:v>G03_KPI_Row</x:v>
      </x:c>
      <x:c r="E127" s="24" t="str">
        <x:v>KPI_Card_04</x:v>
      </x:c>
      <x:c r="F127" s="25" t="n">
        <x:v>0</x:v>
      </x:c>
      <x:c r="G127" s="25" t="n">
        <x:v>0</x:v>
      </x:c>
      <x:c r="H127" s="25" t="n">
        <x:v>1540</x:v>
      </x:c>
      <x:c r="I127" s="25" t="n">
        <x:v>88</x:v>
      </x:c>
      <x:c r="J127" s="25" t="n">
        <x:f>F127+H127</x:f>
        <x:v>1540</x:v>
      </x:c>
      <x:c r="K127" s="25" t="n">
        <x:f>G127+I127</x:f>
        <x:v>88</x:v>
      </x:c>
      <x:c r="L127" s="25" t="n">
        <x:v>929</x:v>
      </x:c>
      <x:c r="M127" s="25" t="n">
        <x:v>330</x:v>
      </x:c>
      <x:c r="N127" s="25" t="n">
        <x:v>287</x:v>
      </x:c>
      <x:c r="O127" s="25" t="n">
        <x:v>180</x:v>
      </x:c>
      <x:c r="P127" s="25" t="n">
        <x:f>L127+N127</x:f>
        <x:v>1216</x:v>
      </x:c>
      <x:c r="Q127" s="25" t="n">
        <x:f>M127+O127</x:f>
        <x:v>510</x:v>
      </x:c>
      <x:c r="R127" s="25" t="n">
        <x:f>MAX(0,MIN(J127,P127)-MAX(F127,L127))</x:f>
        <x:v>287</x:v>
      </x:c>
      <x:c r="S127" s="25" t="n">
        <x:f>MAX(0,MIN(K127,Q127)-MAX(G127,M127))</x:f>
        <x:v>0</x:v>
      </x:c>
      <x:c r="T127" s="25" t="n">
        <x:f>R127*S127</x:f>
        <x:v>0</x:v>
      </x:c>
      <x:c r="U127" s="24" t="str">
        <x:f>IF(T127&gt;0,"ERREUR chevauchement","OK aucun chevauchement")</x:f>
        <x:v>OK aucun chevauchement</x:v>
      </x:c>
      <x:c r="V127" s="24" t="str">
        <x:v>OK aucun chevauchement</x:v>
      </x:c>
      <x:c r="W127" s="24" t="str">
        <x:v>Si ERREUR : déplacer/redimensionner l’objet B ou créer un bookmark/masquage</x:v>
      </x:c>
    </x:row>
    <x:row r="128">
      <x:c r="A128" s="24" t="str">
        <x:v>Affaires</x:v>
      </x:c>
      <x:c r="B128" s="24" t="str">
        <x:v>G00_Header_Global</x:v>
      </x:c>
      <x:c r="C128" s="24" t="str">
        <x:v>Header_Global</x:v>
      </x:c>
      <x:c r="D128" s="24" t="str">
        <x:v>G03_KPI_Row</x:v>
      </x:c>
      <x:c r="E128" s="24" t="str">
        <x:v>KPI_Card_05</x:v>
      </x:c>
      <x:c r="F128" s="25" t="n">
        <x:v>0</x:v>
      </x:c>
      <x:c r="G128" s="25" t="n">
        <x:v>0</x:v>
      </x:c>
      <x:c r="H128" s="25" t="n">
        <x:v>1540</x:v>
      </x:c>
      <x:c r="I128" s="25" t="n">
        <x:v>88</x:v>
      </x:c>
      <x:c r="J128" s="25" t="n">
        <x:f>F128+H128</x:f>
        <x:v>1540</x:v>
      </x:c>
      <x:c r="K128" s="25" t="n">
        <x:f>G128+I128</x:f>
        <x:v>88</x:v>
      </x:c>
      <x:c r="L128" s="25" t="n">
        <x:v>1232</x:v>
      </x:c>
      <x:c r="M128" s="25" t="n">
        <x:v>330</x:v>
      </x:c>
      <x:c r="N128" s="25" t="n">
        <x:v>287</x:v>
      </x:c>
      <x:c r="O128" s="25" t="n">
        <x:v>180</x:v>
      </x:c>
      <x:c r="P128" s="25" t="n">
        <x:f>L128+N128</x:f>
        <x:v>1519</x:v>
      </x:c>
      <x:c r="Q128" s="25" t="n">
        <x:f>M128+O128</x:f>
        <x:v>510</x:v>
      </x:c>
      <x:c r="R128" s="25" t="n">
        <x:f>MAX(0,MIN(J128,P128)-MAX(F128,L128))</x:f>
        <x:v>287</x:v>
      </x:c>
      <x:c r="S128" s="25" t="n">
        <x:f>MAX(0,MIN(K128,Q128)-MAX(G128,M128))</x:f>
        <x:v>0</x:v>
      </x:c>
      <x:c r="T128" s="25" t="n">
        <x:f>R128*S128</x:f>
        <x:v>0</x:v>
      </x:c>
      <x:c r="U128" s="24" t="str">
        <x:f>IF(T128&gt;0,"ERREUR chevauchement","OK aucun chevauchement")</x:f>
        <x:v>OK aucun chevauchement</x:v>
      </x:c>
      <x:c r="V128" s="24" t="str">
        <x:v>OK aucun chevauchement</x:v>
      </x:c>
      <x:c r="W128" s="24" t="str">
        <x:v>Si ERREUR : déplacer/redimensionner l’objet B ou créer un bookmark/masquage</x:v>
      </x:c>
    </x:row>
    <x:row r="129">
      <x:c r="A129" s="24" t="str">
        <x:v>Affaires</x:v>
      </x:c>
      <x:c r="B129" s="24" t="str">
        <x:v>G00_Header_Global</x:v>
      </x:c>
      <x:c r="C129" s="24" t="str">
        <x:v>Header_Global</x:v>
      </x:c>
      <x:c r="D129" s="24" t="str">
        <x:v>G04_Month_Compare</x:v>
      </x:c>
      <x:c r="E129" s="24" t="str">
        <x:v>Bloc_Comparaison_Mois</x:v>
      </x:c>
      <x:c r="F129" s="25" t="n">
        <x:v>0</x:v>
      </x:c>
      <x:c r="G129" s="25" t="n">
        <x:v>0</x:v>
      </x:c>
      <x:c r="H129" s="25" t="n">
        <x:v>1540</x:v>
      </x:c>
      <x:c r="I129" s="25" t="n">
        <x:v>88</x:v>
      </x:c>
      <x:c r="J129" s="25" t="n">
        <x:f>F129+H129</x:f>
        <x:v>1540</x:v>
      </x:c>
      <x:c r="K129" s="25" t="n">
        <x:f>G129+I129</x:f>
        <x:v>88</x:v>
      </x:c>
      <x:c r="L129" s="25" t="n">
        <x:v>20</x:v>
      </x:c>
      <x:c r="M129" s="25" t="n">
        <x:v>530</x:v>
      </x:c>
      <x:c r="N129" s="25" t="n">
        <x:v>1500</x:v>
      </x:c>
      <x:c r="O129" s="25" t="n">
        <x:v>230</x:v>
      </x:c>
      <x:c r="P129" s="25" t="n">
        <x:f>L129+N129</x:f>
        <x:v>1520</x:v>
      </x:c>
      <x:c r="Q129" s="25" t="n">
        <x:f>M129+O129</x:f>
        <x:v>760</x:v>
      </x:c>
      <x:c r="R129" s="25" t="n">
        <x:f>MAX(0,MIN(J129,P129)-MAX(F129,L129))</x:f>
        <x:v>1500</x:v>
      </x:c>
      <x:c r="S129" s="25" t="n">
        <x:f>MAX(0,MIN(K129,Q129)-MAX(G129,M129))</x:f>
        <x:v>0</x:v>
      </x:c>
      <x:c r="T129" s="25" t="n">
        <x:f>R129*S129</x:f>
        <x:v>0</x:v>
      </x:c>
      <x:c r="U129" s="24" t="str">
        <x:f>IF(T129&gt;0,"ERREUR chevauchement","OK aucun chevauchement")</x:f>
        <x:v>OK aucun chevauchement</x:v>
      </x:c>
      <x:c r="V129" s="24" t="str">
        <x:v>OK aucun chevauchement</x:v>
      </x:c>
      <x:c r="W129" s="24" t="str">
        <x:v>Si ERREUR : déplacer/redimensionner l’objet B ou créer un bookmark/masquage</x:v>
      </x:c>
    </x:row>
    <x:row r="130">
      <x:c r="A130" s="24" t="str">
        <x:v>Affaires</x:v>
      </x:c>
      <x:c r="B130" s="24" t="str">
        <x:v>G00_Header_Global</x:v>
      </x:c>
      <x:c r="C130" s="24" t="str">
        <x:v>Header_Global</x:v>
      </x:c>
      <x:c r="D130" s="24" t="str">
        <x:v>G05_Budget_Gauges</x:v>
      </x:c>
      <x:c r="E130" s="24" t="str">
        <x:v>Budget_Gauge_Row</x:v>
      </x:c>
      <x:c r="F130" s="25" t="n">
        <x:v>0</x:v>
      </x:c>
      <x:c r="G130" s="25" t="n">
        <x:v>0</x:v>
      </x:c>
      <x:c r="H130" s="25" t="n">
        <x:v>1540</x:v>
      </x:c>
      <x:c r="I130" s="25" t="n">
        <x:v>88</x:v>
      </x:c>
      <x:c r="J130" s="25" t="n">
        <x:f>F130+H130</x:f>
        <x:v>1540</x:v>
      </x:c>
      <x:c r="K130" s="25" t="n">
        <x:f>G130+I130</x:f>
        <x:v>88</x:v>
      </x:c>
      <x:c r="L130" s="25" t="n">
        <x:v>20</x:v>
      </x:c>
      <x:c r="M130" s="25" t="n">
        <x:v>780</x:v>
      </x:c>
      <x:c r="N130" s="25" t="n">
        <x:v>1500</x:v>
      </x:c>
      <x:c r="O130" s="25" t="n">
        <x:v>132</x:v>
      </x:c>
      <x:c r="P130" s="25" t="n">
        <x:f>L130+N130</x:f>
        <x:v>1520</x:v>
      </x:c>
      <x:c r="Q130" s="25" t="n">
        <x:f>M130+O130</x:f>
        <x:v>912</x:v>
      </x:c>
      <x:c r="R130" s="25" t="n">
        <x:f>MAX(0,MIN(J130,P130)-MAX(F130,L130))</x:f>
        <x:v>1500</x:v>
      </x:c>
      <x:c r="S130" s="25" t="n">
        <x:f>MAX(0,MIN(K130,Q130)-MAX(G130,M130))</x:f>
        <x:v>0</x:v>
      </x:c>
      <x:c r="T130" s="25" t="n">
        <x:f>R130*S130</x:f>
        <x:v>0</x:v>
      </x:c>
      <x:c r="U130" s="24" t="str">
        <x:f>IF(T130&gt;0,"ERREUR chevauchement","OK aucun chevauchement")</x:f>
        <x:v>OK aucun chevauchement</x:v>
      </x:c>
      <x:c r="V130" s="24" t="str">
        <x:v>OK aucun chevauchement</x:v>
      </x:c>
      <x:c r="W130" s="24" t="str">
        <x:v>Si ERREUR : déplacer/redimensionner l’objet B ou créer un bookmark/masquage</x:v>
      </x:c>
    </x:row>
    <x:row r="131">
      <x:c r="A131" s="24" t="str">
        <x:v>Affaires</x:v>
      </x:c>
      <x:c r="B131" s="24" t="str">
        <x:v>G00_Header_Global</x:v>
      </x:c>
      <x:c r="C131" s="24" t="str">
        <x:v>Header_Global</x:v>
      </x:c>
      <x:c r="D131" s="24" t="str">
        <x:v>G06_Charts</x:v>
      </x:c>
      <x:c r="E131" s="24" t="str">
        <x:v>Line_Volume</x:v>
      </x:c>
      <x:c r="F131" s="25" t="n">
        <x:v>0</x:v>
      </x:c>
      <x:c r="G131" s="25" t="n">
        <x:v>0</x:v>
      </x:c>
      <x:c r="H131" s="25" t="n">
        <x:v>1540</x:v>
      </x:c>
      <x:c r="I131" s="25" t="n">
        <x:v>88</x:v>
      </x:c>
      <x:c r="J131" s="25" t="n">
        <x:f>F131+H131</x:f>
        <x:v>1540</x:v>
      </x:c>
      <x:c r="K131" s="25" t="n">
        <x:f>G131+I131</x:f>
        <x:v>88</x:v>
      </x:c>
      <x:c r="L131" s="25" t="n">
        <x:v>20</x:v>
      </x:c>
      <x:c r="M131" s="25" t="n">
        <x:v>932</x:v>
      </x:c>
      <x:c r="N131" s="25" t="n">
        <x:v>742</x:v>
      </x:c>
      <x:c r="O131" s="25" t="n">
        <x:v>360</x:v>
      </x:c>
      <x:c r="P131" s="25" t="n">
        <x:f>L131+N131</x:f>
        <x:v>762</x:v>
      </x:c>
      <x:c r="Q131" s="25" t="n">
        <x:f>M131+O131</x:f>
        <x:v>1292</x:v>
      </x:c>
      <x:c r="R131" s="25" t="n">
        <x:f>MAX(0,MIN(J131,P131)-MAX(F131,L131))</x:f>
        <x:v>742</x:v>
      </x:c>
      <x:c r="S131" s="25" t="n">
        <x:f>MAX(0,MIN(K131,Q131)-MAX(G131,M131))</x:f>
        <x:v>0</x:v>
      </x:c>
      <x:c r="T131" s="25" t="n">
        <x:f>R131*S131</x:f>
        <x:v>0</x:v>
      </x:c>
      <x:c r="U131" s="24" t="str">
        <x:f>IF(T131&gt;0,"ERREUR chevauchement","OK aucun chevauchement")</x:f>
        <x:v>OK aucun chevauchement</x:v>
      </x:c>
      <x:c r="V131" s="24" t="str">
        <x:v>OK aucun chevauchement</x:v>
      </x:c>
      <x:c r="W131" s="24" t="str">
        <x:v>Si ERREUR : déplacer/redimensionner l’objet B ou créer un bookmark/masquage</x:v>
      </x:c>
    </x:row>
    <x:row r="132">
      <x:c r="A132" s="24" t="str">
        <x:v>Affaires</x:v>
      </x:c>
      <x:c r="B132" s="24" t="str">
        <x:v>G00_Header_Global</x:v>
      </x:c>
      <x:c r="C132" s="24" t="str">
        <x:v>Header_Global</x:v>
      </x:c>
      <x:c r="D132" s="24" t="str">
        <x:v>G06_Charts</x:v>
      </x:c>
      <x:c r="E132" s="24" t="str">
        <x:v>Bar_Axes_Affaires</x:v>
      </x:c>
      <x:c r="F132" s="25" t="n">
        <x:v>0</x:v>
      </x:c>
      <x:c r="G132" s="25" t="n">
        <x:v>0</x:v>
      </x:c>
      <x:c r="H132" s="25" t="n">
        <x:v>1540</x:v>
      </x:c>
      <x:c r="I132" s="25" t="n">
        <x:v>88</x:v>
      </x:c>
      <x:c r="J132" s="25" t="n">
        <x:f>F132+H132</x:f>
        <x:v>1540</x:v>
      </x:c>
      <x:c r="K132" s="25" t="n">
        <x:f>G132+I132</x:f>
        <x:v>88</x:v>
      </x:c>
      <x:c r="L132" s="25" t="n">
        <x:v>778</x:v>
      </x:c>
      <x:c r="M132" s="25" t="n">
        <x:v>932</x:v>
      </x:c>
      <x:c r="N132" s="25" t="n">
        <x:v>742</x:v>
      </x:c>
      <x:c r="O132" s="25" t="n">
        <x:v>360</x:v>
      </x:c>
      <x:c r="P132" s="25" t="n">
        <x:f>L132+N132</x:f>
        <x:v>1520</x:v>
      </x:c>
      <x:c r="Q132" s="25" t="n">
        <x:f>M132+O132</x:f>
        <x:v>1292</x:v>
      </x:c>
      <x:c r="R132" s="25" t="n">
        <x:f>MAX(0,MIN(J132,P132)-MAX(F132,L132))</x:f>
        <x:v>742</x:v>
      </x:c>
      <x:c r="S132" s="25" t="n">
        <x:f>MAX(0,MIN(K132,Q132)-MAX(G132,M132))</x:f>
        <x:v>0</x:v>
      </x:c>
      <x:c r="T132" s="25" t="n">
        <x:f>R132*S132</x:f>
        <x:v>0</x:v>
      </x:c>
      <x:c r="U132" s="24" t="str">
        <x:f>IF(T132&gt;0,"ERREUR chevauchement","OK aucun chevauchement")</x:f>
        <x:v>OK aucun chevauchement</x:v>
      </x:c>
      <x:c r="V132" s="24" t="str">
        <x:v>OK aucun chevauchement</x:v>
      </x:c>
      <x:c r="W132" s="24" t="str">
        <x:v>Si ERREUR : déplacer/redimensionner l’objet B ou créer un bookmark/masquage</x:v>
      </x:c>
    </x:row>
    <x:row r="133">
      <x:c r="A133" s="24" t="str">
        <x:v>Affaires</x:v>
      </x:c>
      <x:c r="B133" s="24" t="str">
        <x:v>G01_Title_Zone</x:v>
      </x:c>
      <x:c r="C133" s="24" t="str">
        <x:v>Title_Zone</x:v>
      </x:c>
      <x:c r="D133" s="24" t="str">
        <x:v>G02_Toolbar</x:v>
      </x:c>
      <x:c r="E133" s="24" t="str">
        <x:v>Toolbar_Slicers_FieldParams</x:v>
      </x:c>
      <x:c r="F133" s="25" t="n">
        <x:v>20</x:v>
      </x:c>
      <x:c r="G133" s="25" t="n">
        <x:v>110</x:v>
      </x:c>
      <x:c r="H133" s="25" t="n">
        <x:v>1500</x:v>
      </x:c>
      <x:c r="I133" s="25" t="n">
        <x:v>132</x:v>
      </x:c>
      <x:c r="J133" s="25" t="n">
        <x:f>F133+H133</x:f>
        <x:v>1520</x:v>
      </x:c>
      <x:c r="K133" s="25" t="n">
        <x:f>G133+I133</x:f>
        <x:v>242</x:v>
      </x:c>
      <x:c r="L133" s="25" t="n">
        <x:v>20</x:v>
      </x:c>
      <x:c r="M133" s="25" t="n">
        <x:v>260</x:v>
      </x:c>
      <x:c r="N133" s="25" t="n">
        <x:v>1500</x:v>
      </x:c>
      <x:c r="O133" s="25" t="n">
        <x:v>56</x:v>
      </x:c>
      <x:c r="P133" s="25" t="n">
        <x:f>L133+N133</x:f>
        <x:v>1520</x:v>
      </x:c>
      <x:c r="Q133" s="25" t="n">
        <x:f>M133+O133</x:f>
        <x:v>316</x:v>
      </x:c>
      <x:c r="R133" s="25" t="n">
        <x:f>MAX(0,MIN(J133,P133)-MAX(F133,L133))</x:f>
        <x:v>1500</x:v>
      </x:c>
      <x:c r="S133" s="25" t="n">
        <x:f>MAX(0,MIN(K133,Q133)-MAX(G133,M133))</x:f>
        <x:v>0</x:v>
      </x:c>
      <x:c r="T133" s="25" t="n">
        <x:f>R133*S133</x:f>
        <x:v>0</x:v>
      </x:c>
      <x:c r="U133" s="24" t="str">
        <x:f>IF(T133&gt;0,"ERREUR chevauchement","OK aucun chevauchement")</x:f>
        <x:v>OK aucun chevauchement</x:v>
      </x:c>
      <x:c r="V133" s="24" t="str">
        <x:v>OK aucun chevauchement</x:v>
      </x:c>
      <x:c r="W133" s="24" t="str">
        <x:v>Si ERREUR : déplacer/redimensionner l’objet B ou créer un bookmark/masquage</x:v>
      </x:c>
    </x:row>
    <x:row r="134">
      <x:c r="A134" s="24" t="str">
        <x:v>Affaires</x:v>
      </x:c>
      <x:c r="B134" s="24" t="str">
        <x:v>G01_Title_Zone</x:v>
      </x:c>
      <x:c r="C134" s="24" t="str">
        <x:v>Title_Zone</x:v>
      </x:c>
      <x:c r="D134" s="24" t="str">
        <x:v>G03_KPI_Row</x:v>
      </x:c>
      <x:c r="E134" s="24" t="str">
        <x:v>KPI_Card_01</x:v>
      </x:c>
      <x:c r="F134" s="25" t="n">
        <x:v>20</x:v>
      </x:c>
      <x:c r="G134" s="25" t="n">
        <x:v>110</x:v>
      </x:c>
      <x:c r="H134" s="25" t="n">
        <x:v>1500</x:v>
      </x:c>
      <x:c r="I134" s="25" t="n">
        <x:v>132</x:v>
      </x:c>
      <x:c r="J134" s="25" t="n">
        <x:f>F134+H134</x:f>
        <x:v>1520</x:v>
      </x:c>
      <x:c r="K134" s="25" t="n">
        <x:f>G134+I134</x:f>
        <x:v>242</x:v>
      </x:c>
      <x:c r="L134" s="25" t="n">
        <x:v>20</x:v>
      </x:c>
      <x:c r="M134" s="25" t="n">
        <x:v>330</x:v>
      </x:c>
      <x:c r="N134" s="25" t="n">
        <x:v>287</x:v>
      </x:c>
      <x:c r="O134" s="25" t="n">
        <x:v>180</x:v>
      </x:c>
      <x:c r="P134" s="25" t="n">
        <x:f>L134+N134</x:f>
        <x:v>307</x:v>
      </x:c>
      <x:c r="Q134" s="25" t="n">
        <x:f>M134+O134</x:f>
        <x:v>510</x:v>
      </x:c>
      <x:c r="R134" s="25" t="n">
        <x:f>MAX(0,MIN(J134,P134)-MAX(F134,L134))</x:f>
        <x:v>287</x:v>
      </x:c>
      <x:c r="S134" s="25" t="n">
        <x:f>MAX(0,MIN(K134,Q134)-MAX(G134,M134))</x:f>
        <x:v>0</x:v>
      </x:c>
      <x:c r="T134" s="25" t="n">
        <x:f>R134*S134</x:f>
        <x:v>0</x:v>
      </x:c>
      <x:c r="U134" s="24" t="str">
        <x:f>IF(T134&gt;0,"ERREUR chevauchement","OK aucun chevauchement")</x:f>
        <x:v>OK aucun chevauchement</x:v>
      </x:c>
      <x:c r="V134" s="24" t="str">
        <x:v>OK aucun chevauchement</x:v>
      </x:c>
      <x:c r="W134" s="24" t="str">
        <x:v>Si ERREUR : déplacer/redimensionner l’objet B ou créer un bookmark/masquage</x:v>
      </x:c>
    </x:row>
    <x:row r="135">
      <x:c r="A135" s="24" t="str">
        <x:v>Affaires</x:v>
      </x:c>
      <x:c r="B135" s="24" t="str">
        <x:v>G01_Title_Zone</x:v>
      </x:c>
      <x:c r="C135" s="24" t="str">
        <x:v>Title_Zone</x:v>
      </x:c>
      <x:c r="D135" s="24" t="str">
        <x:v>G03_KPI_Row</x:v>
      </x:c>
      <x:c r="E135" s="24" t="str">
        <x:v>KPI_Card_02</x:v>
      </x:c>
      <x:c r="F135" s="25" t="n">
        <x:v>20</x:v>
      </x:c>
      <x:c r="G135" s="25" t="n">
        <x:v>110</x:v>
      </x:c>
      <x:c r="H135" s="25" t="n">
        <x:v>1500</x:v>
      </x:c>
      <x:c r="I135" s="25" t="n">
        <x:v>132</x:v>
      </x:c>
      <x:c r="J135" s="25" t="n">
        <x:f>F135+H135</x:f>
        <x:v>1520</x:v>
      </x:c>
      <x:c r="K135" s="25" t="n">
        <x:f>G135+I135</x:f>
        <x:v>242</x:v>
      </x:c>
      <x:c r="L135" s="25" t="n">
        <x:v>323</x:v>
      </x:c>
      <x:c r="M135" s="25" t="n">
        <x:v>330</x:v>
      </x:c>
      <x:c r="N135" s="25" t="n">
        <x:v>287</x:v>
      </x:c>
      <x:c r="O135" s="25" t="n">
        <x:v>180</x:v>
      </x:c>
      <x:c r="P135" s="25" t="n">
        <x:f>L135+N135</x:f>
        <x:v>610</x:v>
      </x:c>
      <x:c r="Q135" s="25" t="n">
        <x:f>M135+O135</x:f>
        <x:v>510</x:v>
      </x:c>
      <x:c r="R135" s="25" t="n">
        <x:f>MAX(0,MIN(J135,P135)-MAX(F135,L135))</x:f>
        <x:v>287</x:v>
      </x:c>
      <x:c r="S135" s="25" t="n">
        <x:f>MAX(0,MIN(K135,Q135)-MAX(G135,M135))</x:f>
        <x:v>0</x:v>
      </x:c>
      <x:c r="T135" s="25" t="n">
        <x:f>R135*S135</x:f>
        <x:v>0</x:v>
      </x:c>
      <x:c r="U135" s="24" t="str">
        <x:f>IF(T135&gt;0,"ERREUR chevauchement","OK aucun chevauchement")</x:f>
        <x:v>OK aucun chevauchement</x:v>
      </x:c>
      <x:c r="V135" s="24" t="str">
        <x:v>OK aucun chevauchement</x:v>
      </x:c>
      <x:c r="W135" s="24" t="str">
        <x:v>Si ERREUR : déplacer/redimensionner l’objet B ou créer un bookmark/masquage</x:v>
      </x:c>
    </x:row>
    <x:row r="136">
      <x:c r="A136" s="24" t="str">
        <x:v>Affaires</x:v>
      </x:c>
      <x:c r="B136" s="24" t="str">
        <x:v>G01_Title_Zone</x:v>
      </x:c>
      <x:c r="C136" s="24" t="str">
        <x:v>Title_Zone</x:v>
      </x:c>
      <x:c r="D136" s="24" t="str">
        <x:v>G03_KPI_Row</x:v>
      </x:c>
      <x:c r="E136" s="24" t="str">
        <x:v>KPI_Card_03</x:v>
      </x:c>
      <x:c r="F136" s="25" t="n">
        <x:v>20</x:v>
      </x:c>
      <x:c r="G136" s="25" t="n">
        <x:v>110</x:v>
      </x:c>
      <x:c r="H136" s="25" t="n">
        <x:v>1500</x:v>
      </x:c>
      <x:c r="I136" s="25" t="n">
        <x:v>132</x:v>
      </x:c>
      <x:c r="J136" s="25" t="n">
        <x:f>F136+H136</x:f>
        <x:v>1520</x:v>
      </x:c>
      <x:c r="K136" s="25" t="n">
        <x:f>G136+I136</x:f>
        <x:v>242</x:v>
      </x:c>
      <x:c r="L136" s="25" t="n">
        <x:v>626</x:v>
      </x:c>
      <x:c r="M136" s="25" t="n">
        <x:v>330</x:v>
      </x:c>
      <x:c r="N136" s="25" t="n">
        <x:v>287</x:v>
      </x:c>
      <x:c r="O136" s="25" t="n">
        <x:v>180</x:v>
      </x:c>
      <x:c r="P136" s="25" t="n">
        <x:f>L136+N136</x:f>
        <x:v>913</x:v>
      </x:c>
      <x:c r="Q136" s="25" t="n">
        <x:f>M136+O136</x:f>
        <x:v>510</x:v>
      </x:c>
      <x:c r="R136" s="25" t="n">
        <x:f>MAX(0,MIN(J136,P136)-MAX(F136,L136))</x:f>
        <x:v>287</x:v>
      </x:c>
      <x:c r="S136" s="25" t="n">
        <x:f>MAX(0,MIN(K136,Q136)-MAX(G136,M136))</x:f>
        <x:v>0</x:v>
      </x:c>
      <x:c r="T136" s="25" t="n">
        <x:f>R136*S136</x:f>
        <x:v>0</x:v>
      </x:c>
      <x:c r="U136" s="24" t="str">
        <x:f>IF(T136&gt;0,"ERREUR chevauchement","OK aucun chevauchement")</x:f>
        <x:v>OK aucun chevauchement</x:v>
      </x:c>
      <x:c r="V136" s="24" t="str">
        <x:v>OK aucun chevauchement</x:v>
      </x:c>
      <x:c r="W136" s="24" t="str">
        <x:v>Si ERREUR : déplacer/redimensionner l’objet B ou créer un bookmark/masquage</x:v>
      </x:c>
    </x:row>
    <x:row r="137">
      <x:c r="A137" s="24" t="str">
        <x:v>Affaires</x:v>
      </x:c>
      <x:c r="B137" s="24" t="str">
        <x:v>G01_Title_Zone</x:v>
      </x:c>
      <x:c r="C137" s="24" t="str">
        <x:v>Title_Zone</x:v>
      </x:c>
      <x:c r="D137" s="24" t="str">
        <x:v>G03_KPI_Row</x:v>
      </x:c>
      <x:c r="E137" s="24" t="str">
        <x:v>KPI_Card_04</x:v>
      </x:c>
      <x:c r="F137" s="25" t="n">
        <x:v>20</x:v>
      </x:c>
      <x:c r="G137" s="25" t="n">
        <x:v>110</x:v>
      </x:c>
      <x:c r="H137" s="25" t="n">
        <x:v>1500</x:v>
      </x:c>
      <x:c r="I137" s="25" t="n">
        <x:v>132</x:v>
      </x:c>
      <x:c r="J137" s="25" t="n">
        <x:f>F137+H137</x:f>
        <x:v>1520</x:v>
      </x:c>
      <x:c r="K137" s="25" t="n">
        <x:f>G137+I137</x:f>
        <x:v>242</x:v>
      </x:c>
      <x:c r="L137" s="25" t="n">
        <x:v>929</x:v>
      </x:c>
      <x:c r="M137" s="25" t="n">
        <x:v>330</x:v>
      </x:c>
      <x:c r="N137" s="25" t="n">
        <x:v>287</x:v>
      </x:c>
      <x:c r="O137" s="25" t="n">
        <x:v>180</x:v>
      </x:c>
      <x:c r="P137" s="25" t="n">
        <x:f>L137+N137</x:f>
        <x:v>1216</x:v>
      </x:c>
      <x:c r="Q137" s="25" t="n">
        <x:f>M137+O137</x:f>
        <x:v>510</x:v>
      </x:c>
      <x:c r="R137" s="25" t="n">
        <x:f>MAX(0,MIN(J137,P137)-MAX(F137,L137))</x:f>
        <x:v>287</x:v>
      </x:c>
      <x:c r="S137" s="25" t="n">
        <x:f>MAX(0,MIN(K137,Q137)-MAX(G137,M137))</x:f>
        <x:v>0</x:v>
      </x:c>
      <x:c r="T137" s="25" t="n">
        <x:f>R137*S137</x:f>
        <x:v>0</x:v>
      </x:c>
      <x:c r="U137" s="24" t="str">
        <x:f>IF(T137&gt;0,"ERREUR chevauchement","OK aucun chevauchement")</x:f>
        <x:v>OK aucun chevauchement</x:v>
      </x:c>
      <x:c r="V137" s="24" t="str">
        <x:v>OK aucun chevauchement</x:v>
      </x:c>
      <x:c r="W137" s="24" t="str">
        <x:v>Si ERREUR : déplacer/redimensionner l’objet B ou créer un bookmark/masquage</x:v>
      </x:c>
    </x:row>
    <x:row r="138">
      <x:c r="A138" s="24" t="str">
        <x:v>Affaires</x:v>
      </x:c>
      <x:c r="B138" s="24" t="str">
        <x:v>G01_Title_Zone</x:v>
      </x:c>
      <x:c r="C138" s="24" t="str">
        <x:v>Title_Zone</x:v>
      </x:c>
      <x:c r="D138" s="24" t="str">
        <x:v>G03_KPI_Row</x:v>
      </x:c>
      <x:c r="E138" s="24" t="str">
        <x:v>KPI_Card_05</x:v>
      </x:c>
      <x:c r="F138" s="25" t="n">
        <x:v>20</x:v>
      </x:c>
      <x:c r="G138" s="25" t="n">
        <x:v>110</x:v>
      </x:c>
      <x:c r="H138" s="25" t="n">
        <x:v>1500</x:v>
      </x:c>
      <x:c r="I138" s="25" t="n">
        <x:v>132</x:v>
      </x:c>
      <x:c r="J138" s="25" t="n">
        <x:f>F138+H138</x:f>
        <x:v>1520</x:v>
      </x:c>
      <x:c r="K138" s="25" t="n">
        <x:f>G138+I138</x:f>
        <x:v>242</x:v>
      </x:c>
      <x:c r="L138" s="25" t="n">
        <x:v>1232</x:v>
      </x:c>
      <x:c r="M138" s="25" t="n">
        <x:v>330</x:v>
      </x:c>
      <x:c r="N138" s="25" t="n">
        <x:v>287</x:v>
      </x:c>
      <x:c r="O138" s="25" t="n">
        <x:v>180</x:v>
      </x:c>
      <x:c r="P138" s="25" t="n">
        <x:f>L138+N138</x:f>
        <x:v>1519</x:v>
      </x:c>
      <x:c r="Q138" s="25" t="n">
        <x:f>M138+O138</x:f>
        <x:v>510</x:v>
      </x:c>
      <x:c r="R138" s="25" t="n">
        <x:f>MAX(0,MIN(J138,P138)-MAX(F138,L138))</x:f>
        <x:v>287</x:v>
      </x:c>
      <x:c r="S138" s="25" t="n">
        <x:f>MAX(0,MIN(K138,Q138)-MAX(G138,M138))</x:f>
        <x:v>0</x:v>
      </x:c>
      <x:c r="T138" s="25" t="n">
        <x:f>R138*S138</x:f>
        <x:v>0</x:v>
      </x:c>
      <x:c r="U138" s="24" t="str">
        <x:f>IF(T138&gt;0,"ERREUR chevauchement","OK aucun chevauchement")</x:f>
        <x:v>OK aucun chevauchement</x:v>
      </x:c>
      <x:c r="V138" s="24" t="str">
        <x:v>OK aucun chevauchement</x:v>
      </x:c>
      <x:c r="W138" s="24" t="str">
        <x:v>Si ERREUR : déplacer/redimensionner l’objet B ou créer un bookmark/masquage</x:v>
      </x:c>
    </x:row>
    <x:row r="139">
      <x:c r="A139" s="24" t="str">
        <x:v>Affaires</x:v>
      </x:c>
      <x:c r="B139" s="24" t="str">
        <x:v>G01_Title_Zone</x:v>
      </x:c>
      <x:c r="C139" s="24" t="str">
        <x:v>Title_Zone</x:v>
      </x:c>
      <x:c r="D139" s="24" t="str">
        <x:v>G04_Month_Compare</x:v>
      </x:c>
      <x:c r="E139" s="24" t="str">
        <x:v>Bloc_Comparaison_Mois</x:v>
      </x:c>
      <x:c r="F139" s="25" t="n">
        <x:v>20</x:v>
      </x:c>
      <x:c r="G139" s="25" t="n">
        <x:v>110</x:v>
      </x:c>
      <x:c r="H139" s="25" t="n">
        <x:v>1500</x:v>
      </x:c>
      <x:c r="I139" s="25" t="n">
        <x:v>132</x:v>
      </x:c>
      <x:c r="J139" s="25" t="n">
        <x:f>F139+H139</x:f>
        <x:v>1520</x:v>
      </x:c>
      <x:c r="K139" s="25" t="n">
        <x:f>G139+I139</x:f>
        <x:v>242</x:v>
      </x:c>
      <x:c r="L139" s="25" t="n">
        <x:v>20</x:v>
      </x:c>
      <x:c r="M139" s="25" t="n">
        <x:v>530</x:v>
      </x:c>
      <x:c r="N139" s="25" t="n">
        <x:v>1500</x:v>
      </x:c>
      <x:c r="O139" s="25" t="n">
        <x:v>230</x:v>
      </x:c>
      <x:c r="P139" s="25" t="n">
        <x:f>L139+N139</x:f>
        <x:v>1520</x:v>
      </x:c>
      <x:c r="Q139" s="25" t="n">
        <x:f>M139+O139</x:f>
        <x:v>760</x:v>
      </x:c>
      <x:c r="R139" s="25" t="n">
        <x:f>MAX(0,MIN(J139,P139)-MAX(F139,L139))</x:f>
        <x:v>1500</x:v>
      </x:c>
      <x:c r="S139" s="25" t="n">
        <x:f>MAX(0,MIN(K139,Q139)-MAX(G139,M139))</x:f>
        <x:v>0</x:v>
      </x:c>
      <x:c r="T139" s="25" t="n">
        <x:f>R139*S139</x:f>
        <x:v>0</x:v>
      </x:c>
      <x:c r="U139" s="24" t="str">
        <x:f>IF(T139&gt;0,"ERREUR chevauchement","OK aucun chevauchement")</x:f>
        <x:v>OK aucun chevauchement</x:v>
      </x:c>
      <x:c r="V139" s="24" t="str">
        <x:v>OK aucun chevauchement</x:v>
      </x:c>
      <x:c r="W139" s="24" t="str">
        <x:v>Si ERREUR : déplacer/redimensionner l’objet B ou créer un bookmark/masquage</x:v>
      </x:c>
    </x:row>
    <x:row r="140">
      <x:c r="A140" s="24" t="str">
        <x:v>Affaires</x:v>
      </x:c>
      <x:c r="B140" s="24" t="str">
        <x:v>G01_Title_Zone</x:v>
      </x:c>
      <x:c r="C140" s="24" t="str">
        <x:v>Title_Zone</x:v>
      </x:c>
      <x:c r="D140" s="24" t="str">
        <x:v>G05_Budget_Gauges</x:v>
      </x:c>
      <x:c r="E140" s="24" t="str">
        <x:v>Budget_Gauge_Row</x:v>
      </x:c>
      <x:c r="F140" s="25" t="n">
        <x:v>20</x:v>
      </x:c>
      <x:c r="G140" s="25" t="n">
        <x:v>110</x:v>
      </x:c>
      <x:c r="H140" s="25" t="n">
        <x:v>1500</x:v>
      </x:c>
      <x:c r="I140" s="25" t="n">
        <x:v>132</x:v>
      </x:c>
      <x:c r="J140" s="25" t="n">
        <x:f>F140+H140</x:f>
        <x:v>1520</x:v>
      </x:c>
      <x:c r="K140" s="25" t="n">
        <x:f>G140+I140</x:f>
        <x:v>242</x:v>
      </x:c>
      <x:c r="L140" s="25" t="n">
        <x:v>20</x:v>
      </x:c>
      <x:c r="M140" s="25" t="n">
        <x:v>780</x:v>
      </x:c>
      <x:c r="N140" s="25" t="n">
        <x:v>1500</x:v>
      </x:c>
      <x:c r="O140" s="25" t="n">
        <x:v>132</x:v>
      </x:c>
      <x:c r="P140" s="25" t="n">
        <x:f>L140+N140</x:f>
        <x:v>1520</x:v>
      </x:c>
      <x:c r="Q140" s="25" t="n">
        <x:f>M140+O140</x:f>
        <x:v>912</x:v>
      </x:c>
      <x:c r="R140" s="25" t="n">
        <x:f>MAX(0,MIN(J140,P140)-MAX(F140,L140))</x:f>
        <x:v>1500</x:v>
      </x:c>
      <x:c r="S140" s="25" t="n">
        <x:f>MAX(0,MIN(K140,Q140)-MAX(G140,M140))</x:f>
        <x:v>0</x:v>
      </x:c>
      <x:c r="T140" s="25" t="n">
        <x:f>R140*S140</x:f>
        <x:v>0</x:v>
      </x:c>
      <x:c r="U140" s="24" t="str">
        <x:f>IF(T140&gt;0,"ERREUR chevauchement","OK aucun chevauchement")</x:f>
        <x:v>OK aucun chevauchement</x:v>
      </x:c>
      <x:c r="V140" s="24" t="str">
        <x:v>OK aucun chevauchement</x:v>
      </x:c>
      <x:c r="W140" s="24" t="str">
        <x:v>Si ERREUR : déplacer/redimensionner l’objet B ou créer un bookmark/masquage</x:v>
      </x:c>
    </x:row>
    <x:row r="141">
      <x:c r="A141" s="24" t="str">
        <x:v>Affaires</x:v>
      </x:c>
      <x:c r="B141" s="24" t="str">
        <x:v>G01_Title_Zone</x:v>
      </x:c>
      <x:c r="C141" s="24" t="str">
        <x:v>Title_Zone</x:v>
      </x:c>
      <x:c r="D141" s="24" t="str">
        <x:v>G06_Charts</x:v>
      </x:c>
      <x:c r="E141" s="24" t="str">
        <x:v>Line_Volume</x:v>
      </x:c>
      <x:c r="F141" s="25" t="n">
        <x:v>20</x:v>
      </x:c>
      <x:c r="G141" s="25" t="n">
        <x:v>110</x:v>
      </x:c>
      <x:c r="H141" s="25" t="n">
        <x:v>1500</x:v>
      </x:c>
      <x:c r="I141" s="25" t="n">
        <x:v>132</x:v>
      </x:c>
      <x:c r="J141" s="25" t="n">
        <x:f>F141+H141</x:f>
        <x:v>1520</x:v>
      </x:c>
      <x:c r="K141" s="25" t="n">
        <x:f>G141+I141</x:f>
        <x:v>242</x:v>
      </x:c>
      <x:c r="L141" s="25" t="n">
        <x:v>20</x:v>
      </x:c>
      <x:c r="M141" s="25" t="n">
        <x:v>932</x:v>
      </x:c>
      <x:c r="N141" s="25" t="n">
        <x:v>742</x:v>
      </x:c>
      <x:c r="O141" s="25" t="n">
        <x:v>360</x:v>
      </x:c>
      <x:c r="P141" s="25" t="n">
        <x:f>L141+N141</x:f>
        <x:v>762</x:v>
      </x:c>
      <x:c r="Q141" s="25" t="n">
        <x:f>M141+O141</x:f>
        <x:v>1292</x:v>
      </x:c>
      <x:c r="R141" s="25" t="n">
        <x:f>MAX(0,MIN(J141,P141)-MAX(F141,L141))</x:f>
        <x:v>742</x:v>
      </x:c>
      <x:c r="S141" s="25" t="n">
        <x:f>MAX(0,MIN(K141,Q141)-MAX(G141,M141))</x:f>
        <x:v>0</x:v>
      </x:c>
      <x:c r="T141" s="25" t="n">
        <x:f>R141*S141</x:f>
        <x:v>0</x:v>
      </x:c>
      <x:c r="U141" s="24" t="str">
        <x:f>IF(T141&gt;0,"ERREUR chevauchement","OK aucun chevauchement")</x:f>
        <x:v>OK aucun chevauchement</x:v>
      </x:c>
      <x:c r="V141" s="24" t="str">
        <x:v>OK aucun chevauchement</x:v>
      </x:c>
      <x:c r="W141" s="24" t="str">
        <x:v>Si ERREUR : déplacer/redimensionner l’objet B ou créer un bookmark/masquage</x:v>
      </x:c>
    </x:row>
    <x:row r="142">
      <x:c r="A142" s="24" t="str">
        <x:v>Affaires</x:v>
      </x:c>
      <x:c r="B142" s="24" t="str">
        <x:v>G01_Title_Zone</x:v>
      </x:c>
      <x:c r="C142" s="24" t="str">
        <x:v>Title_Zone</x:v>
      </x:c>
      <x:c r="D142" s="24" t="str">
        <x:v>G06_Charts</x:v>
      </x:c>
      <x:c r="E142" s="24" t="str">
        <x:v>Bar_Axes_Affaires</x:v>
      </x:c>
      <x:c r="F142" s="25" t="n">
        <x:v>20</x:v>
      </x:c>
      <x:c r="G142" s="25" t="n">
        <x:v>110</x:v>
      </x:c>
      <x:c r="H142" s="25" t="n">
        <x:v>1500</x:v>
      </x:c>
      <x:c r="I142" s="25" t="n">
        <x:v>132</x:v>
      </x:c>
      <x:c r="J142" s="25" t="n">
        <x:f>F142+H142</x:f>
        <x:v>1520</x:v>
      </x:c>
      <x:c r="K142" s="25" t="n">
        <x:f>G142+I142</x:f>
        <x:v>242</x:v>
      </x:c>
      <x:c r="L142" s="25" t="n">
        <x:v>778</x:v>
      </x:c>
      <x:c r="M142" s="25" t="n">
        <x:v>932</x:v>
      </x:c>
      <x:c r="N142" s="25" t="n">
        <x:v>742</x:v>
      </x:c>
      <x:c r="O142" s="25" t="n">
        <x:v>360</x:v>
      </x:c>
      <x:c r="P142" s="25" t="n">
        <x:f>L142+N142</x:f>
        <x:v>1520</x:v>
      </x:c>
      <x:c r="Q142" s="25" t="n">
        <x:f>M142+O142</x:f>
        <x:v>1292</x:v>
      </x:c>
      <x:c r="R142" s="25" t="n">
        <x:f>MAX(0,MIN(J142,P142)-MAX(F142,L142))</x:f>
        <x:v>742</x:v>
      </x:c>
      <x:c r="S142" s="25" t="n">
        <x:f>MAX(0,MIN(K142,Q142)-MAX(G142,M142))</x:f>
        <x:v>0</x:v>
      </x:c>
      <x:c r="T142" s="25" t="n">
        <x:f>R142*S142</x:f>
        <x:v>0</x:v>
      </x:c>
      <x:c r="U142" s="24" t="str">
        <x:f>IF(T142&gt;0,"ERREUR chevauchement","OK aucun chevauchement")</x:f>
        <x:v>OK aucun chevauchement</x:v>
      </x:c>
      <x:c r="V142" s="24" t="str">
        <x:v>OK aucun chevauchement</x:v>
      </x:c>
      <x:c r="W142" s="24" t="str">
        <x:v>Si ERREUR : déplacer/redimensionner l’objet B ou créer un bookmark/masquage</x:v>
      </x:c>
    </x:row>
    <x:row r="143">
      <x:c r="A143" s="24" t="str">
        <x:v>Affaires</x:v>
      </x:c>
      <x:c r="B143" s="24" t="str">
        <x:v>G02_Toolbar</x:v>
      </x:c>
      <x:c r="C143" s="24" t="str">
        <x:v>Toolbar_Slicers_FieldParams</x:v>
      </x:c>
      <x:c r="D143" s="24" t="str">
        <x:v>G03_KPI_Row</x:v>
      </x:c>
      <x:c r="E143" s="24" t="str">
        <x:v>KPI_Card_01</x:v>
      </x:c>
      <x:c r="F143" s="25" t="n">
        <x:v>20</x:v>
      </x:c>
      <x:c r="G143" s="25" t="n">
        <x:v>260</x:v>
      </x:c>
      <x:c r="H143" s="25" t="n">
        <x:v>1500</x:v>
      </x:c>
      <x:c r="I143" s="25" t="n">
        <x:v>56</x:v>
      </x:c>
      <x:c r="J143" s="25" t="n">
        <x:f>F143+H143</x:f>
        <x:v>1520</x:v>
      </x:c>
      <x:c r="K143" s="25" t="n">
        <x:f>G143+I143</x:f>
        <x:v>316</x:v>
      </x:c>
      <x:c r="L143" s="25" t="n">
        <x:v>20</x:v>
      </x:c>
      <x:c r="M143" s="25" t="n">
        <x:v>330</x:v>
      </x:c>
      <x:c r="N143" s="25" t="n">
        <x:v>287</x:v>
      </x:c>
      <x:c r="O143" s="25" t="n">
        <x:v>180</x:v>
      </x:c>
      <x:c r="P143" s="25" t="n">
        <x:f>L143+N143</x:f>
        <x:v>307</x:v>
      </x:c>
      <x:c r="Q143" s="25" t="n">
        <x:f>M143+O143</x:f>
        <x:v>510</x:v>
      </x:c>
      <x:c r="R143" s="25" t="n">
        <x:f>MAX(0,MIN(J143,P143)-MAX(F143,L143))</x:f>
        <x:v>287</x:v>
      </x:c>
      <x:c r="S143" s="25" t="n">
        <x:f>MAX(0,MIN(K143,Q143)-MAX(G143,M143))</x:f>
        <x:v>0</x:v>
      </x:c>
      <x:c r="T143" s="25" t="n">
        <x:f>R143*S143</x:f>
        <x:v>0</x:v>
      </x:c>
      <x:c r="U143" s="24" t="str">
        <x:f>IF(T143&gt;0,"ERREUR chevauchement","OK aucun chevauchement")</x:f>
        <x:v>OK aucun chevauchement</x:v>
      </x:c>
      <x:c r="V143" s="24" t="str">
        <x:v>OK aucun chevauchement</x:v>
      </x:c>
      <x:c r="W143" s="24" t="str">
        <x:v>Si ERREUR : déplacer/redimensionner l’objet B ou créer un bookmark/masquage</x:v>
      </x:c>
    </x:row>
    <x:row r="144">
      <x:c r="A144" s="24" t="str">
        <x:v>Affaires</x:v>
      </x:c>
      <x:c r="B144" s="24" t="str">
        <x:v>G02_Toolbar</x:v>
      </x:c>
      <x:c r="C144" s="24" t="str">
        <x:v>Toolbar_Slicers_FieldParams</x:v>
      </x:c>
      <x:c r="D144" s="24" t="str">
        <x:v>G03_KPI_Row</x:v>
      </x:c>
      <x:c r="E144" s="24" t="str">
        <x:v>KPI_Card_02</x:v>
      </x:c>
      <x:c r="F144" s="25" t="n">
        <x:v>20</x:v>
      </x:c>
      <x:c r="G144" s="25" t="n">
        <x:v>260</x:v>
      </x:c>
      <x:c r="H144" s="25" t="n">
        <x:v>1500</x:v>
      </x:c>
      <x:c r="I144" s="25" t="n">
        <x:v>56</x:v>
      </x:c>
      <x:c r="J144" s="25" t="n">
        <x:f>F144+H144</x:f>
        <x:v>1520</x:v>
      </x:c>
      <x:c r="K144" s="25" t="n">
        <x:f>G144+I144</x:f>
        <x:v>316</x:v>
      </x:c>
      <x:c r="L144" s="25" t="n">
        <x:v>323</x:v>
      </x:c>
      <x:c r="M144" s="25" t="n">
        <x:v>330</x:v>
      </x:c>
      <x:c r="N144" s="25" t="n">
        <x:v>287</x:v>
      </x:c>
      <x:c r="O144" s="25" t="n">
        <x:v>180</x:v>
      </x:c>
      <x:c r="P144" s="25" t="n">
        <x:f>L144+N144</x:f>
        <x:v>610</x:v>
      </x:c>
      <x:c r="Q144" s="25" t="n">
        <x:f>M144+O144</x:f>
        <x:v>510</x:v>
      </x:c>
      <x:c r="R144" s="25" t="n">
        <x:f>MAX(0,MIN(J144,P144)-MAX(F144,L144))</x:f>
        <x:v>287</x:v>
      </x:c>
      <x:c r="S144" s="25" t="n">
        <x:f>MAX(0,MIN(K144,Q144)-MAX(G144,M144))</x:f>
        <x:v>0</x:v>
      </x:c>
      <x:c r="T144" s="25" t="n">
        <x:f>R144*S144</x:f>
        <x:v>0</x:v>
      </x:c>
      <x:c r="U144" s="24" t="str">
        <x:f>IF(T144&gt;0,"ERREUR chevauchement","OK aucun chevauchement")</x:f>
        <x:v>OK aucun chevauchement</x:v>
      </x:c>
      <x:c r="V144" s="24" t="str">
        <x:v>OK aucun chevauchement</x:v>
      </x:c>
      <x:c r="W144" s="24" t="str">
        <x:v>Si ERREUR : déplacer/redimensionner l’objet B ou créer un bookmark/masquage</x:v>
      </x:c>
    </x:row>
    <x:row r="145">
      <x:c r="A145" s="24" t="str">
        <x:v>Affaires</x:v>
      </x:c>
      <x:c r="B145" s="24" t="str">
        <x:v>G02_Toolbar</x:v>
      </x:c>
      <x:c r="C145" s="24" t="str">
        <x:v>Toolbar_Slicers_FieldParams</x:v>
      </x:c>
      <x:c r="D145" s="24" t="str">
        <x:v>G03_KPI_Row</x:v>
      </x:c>
      <x:c r="E145" s="24" t="str">
        <x:v>KPI_Card_03</x:v>
      </x:c>
      <x:c r="F145" s="25" t="n">
        <x:v>20</x:v>
      </x:c>
      <x:c r="G145" s="25" t="n">
        <x:v>260</x:v>
      </x:c>
      <x:c r="H145" s="25" t="n">
        <x:v>1500</x:v>
      </x:c>
      <x:c r="I145" s="25" t="n">
        <x:v>56</x:v>
      </x:c>
      <x:c r="J145" s="25" t="n">
        <x:f>F145+H145</x:f>
        <x:v>1520</x:v>
      </x:c>
      <x:c r="K145" s="25" t="n">
        <x:f>G145+I145</x:f>
        <x:v>316</x:v>
      </x:c>
      <x:c r="L145" s="25" t="n">
        <x:v>626</x:v>
      </x:c>
      <x:c r="M145" s="25" t="n">
        <x:v>330</x:v>
      </x:c>
      <x:c r="N145" s="25" t="n">
        <x:v>287</x:v>
      </x:c>
      <x:c r="O145" s="25" t="n">
        <x:v>180</x:v>
      </x:c>
      <x:c r="P145" s="25" t="n">
        <x:f>L145+N145</x:f>
        <x:v>913</x:v>
      </x:c>
      <x:c r="Q145" s="25" t="n">
        <x:f>M145+O145</x:f>
        <x:v>510</x:v>
      </x:c>
      <x:c r="R145" s="25" t="n">
        <x:f>MAX(0,MIN(J145,P145)-MAX(F145,L145))</x:f>
        <x:v>287</x:v>
      </x:c>
      <x:c r="S145" s="25" t="n">
        <x:f>MAX(0,MIN(K145,Q145)-MAX(G145,M145))</x:f>
        <x:v>0</x:v>
      </x:c>
      <x:c r="T145" s="25" t="n">
        <x:f>R145*S145</x:f>
        <x:v>0</x:v>
      </x:c>
      <x:c r="U145" s="24" t="str">
        <x:f>IF(T145&gt;0,"ERREUR chevauchement","OK aucun chevauchement")</x:f>
        <x:v>OK aucun chevauchement</x:v>
      </x:c>
      <x:c r="V145" s="24" t="str">
        <x:v>OK aucun chevauchement</x:v>
      </x:c>
      <x:c r="W145" s="24" t="str">
        <x:v>Si ERREUR : déplacer/redimensionner l’objet B ou créer un bookmark/masquage</x:v>
      </x:c>
    </x:row>
    <x:row r="146">
      <x:c r="A146" s="24" t="str">
        <x:v>Affaires</x:v>
      </x:c>
      <x:c r="B146" s="24" t="str">
        <x:v>G02_Toolbar</x:v>
      </x:c>
      <x:c r="C146" s="24" t="str">
        <x:v>Toolbar_Slicers_FieldParams</x:v>
      </x:c>
      <x:c r="D146" s="24" t="str">
        <x:v>G03_KPI_Row</x:v>
      </x:c>
      <x:c r="E146" s="24" t="str">
        <x:v>KPI_Card_04</x:v>
      </x:c>
      <x:c r="F146" s="25" t="n">
        <x:v>20</x:v>
      </x:c>
      <x:c r="G146" s="25" t="n">
        <x:v>260</x:v>
      </x:c>
      <x:c r="H146" s="25" t="n">
        <x:v>1500</x:v>
      </x:c>
      <x:c r="I146" s="25" t="n">
        <x:v>56</x:v>
      </x:c>
      <x:c r="J146" s="25" t="n">
        <x:f>F146+H146</x:f>
        <x:v>1520</x:v>
      </x:c>
      <x:c r="K146" s="25" t="n">
        <x:f>G146+I146</x:f>
        <x:v>316</x:v>
      </x:c>
      <x:c r="L146" s="25" t="n">
        <x:v>929</x:v>
      </x:c>
      <x:c r="M146" s="25" t="n">
        <x:v>330</x:v>
      </x:c>
      <x:c r="N146" s="25" t="n">
        <x:v>287</x:v>
      </x:c>
      <x:c r="O146" s="25" t="n">
        <x:v>180</x:v>
      </x:c>
      <x:c r="P146" s="25" t="n">
        <x:f>L146+N146</x:f>
        <x:v>1216</x:v>
      </x:c>
      <x:c r="Q146" s="25" t="n">
        <x:f>M146+O146</x:f>
        <x:v>510</x:v>
      </x:c>
      <x:c r="R146" s="25" t="n">
        <x:f>MAX(0,MIN(J146,P146)-MAX(F146,L146))</x:f>
        <x:v>287</x:v>
      </x:c>
      <x:c r="S146" s="25" t="n">
        <x:f>MAX(0,MIN(K146,Q146)-MAX(G146,M146))</x:f>
        <x:v>0</x:v>
      </x:c>
      <x:c r="T146" s="25" t="n">
        <x:f>R146*S146</x:f>
        <x:v>0</x:v>
      </x:c>
      <x:c r="U146" s="24" t="str">
        <x:f>IF(T146&gt;0,"ERREUR chevauchement","OK aucun chevauchement")</x:f>
        <x:v>OK aucun chevauchement</x:v>
      </x:c>
      <x:c r="V146" s="24" t="str">
        <x:v>OK aucun chevauchement</x:v>
      </x:c>
      <x:c r="W146" s="24" t="str">
        <x:v>Si ERREUR : déplacer/redimensionner l’objet B ou créer un bookmark/masquage</x:v>
      </x:c>
    </x:row>
    <x:row r="147">
      <x:c r="A147" s="24" t="str">
        <x:v>Affaires</x:v>
      </x:c>
      <x:c r="B147" s="24" t="str">
        <x:v>G02_Toolbar</x:v>
      </x:c>
      <x:c r="C147" s="24" t="str">
        <x:v>Toolbar_Slicers_FieldParams</x:v>
      </x:c>
      <x:c r="D147" s="24" t="str">
        <x:v>G03_KPI_Row</x:v>
      </x:c>
      <x:c r="E147" s="24" t="str">
        <x:v>KPI_Card_05</x:v>
      </x:c>
      <x:c r="F147" s="25" t="n">
        <x:v>20</x:v>
      </x:c>
      <x:c r="G147" s="25" t="n">
        <x:v>260</x:v>
      </x:c>
      <x:c r="H147" s="25" t="n">
        <x:v>1500</x:v>
      </x:c>
      <x:c r="I147" s="25" t="n">
        <x:v>56</x:v>
      </x:c>
      <x:c r="J147" s="25" t="n">
        <x:f>F147+H147</x:f>
        <x:v>1520</x:v>
      </x:c>
      <x:c r="K147" s="25" t="n">
        <x:f>G147+I147</x:f>
        <x:v>316</x:v>
      </x:c>
      <x:c r="L147" s="25" t="n">
        <x:v>1232</x:v>
      </x:c>
      <x:c r="M147" s="25" t="n">
        <x:v>330</x:v>
      </x:c>
      <x:c r="N147" s="25" t="n">
        <x:v>287</x:v>
      </x:c>
      <x:c r="O147" s="25" t="n">
        <x:v>180</x:v>
      </x:c>
      <x:c r="P147" s="25" t="n">
        <x:f>L147+N147</x:f>
        <x:v>1519</x:v>
      </x:c>
      <x:c r="Q147" s="25" t="n">
        <x:f>M147+O147</x:f>
        <x:v>510</x:v>
      </x:c>
      <x:c r="R147" s="25" t="n">
        <x:f>MAX(0,MIN(J147,P147)-MAX(F147,L147))</x:f>
        <x:v>287</x:v>
      </x:c>
      <x:c r="S147" s="25" t="n">
        <x:f>MAX(0,MIN(K147,Q147)-MAX(G147,M147))</x:f>
        <x:v>0</x:v>
      </x:c>
      <x:c r="T147" s="25" t="n">
        <x:f>R147*S147</x:f>
        <x:v>0</x:v>
      </x:c>
      <x:c r="U147" s="24" t="str">
        <x:f>IF(T147&gt;0,"ERREUR chevauchement","OK aucun chevauchement")</x:f>
        <x:v>OK aucun chevauchement</x:v>
      </x:c>
      <x:c r="V147" s="24" t="str">
        <x:v>OK aucun chevauchement</x:v>
      </x:c>
      <x:c r="W147" s="24" t="str">
        <x:v>Si ERREUR : déplacer/redimensionner l’objet B ou créer un bookmark/masquage</x:v>
      </x:c>
    </x:row>
    <x:row r="148">
      <x:c r="A148" s="24" t="str">
        <x:v>Affaires</x:v>
      </x:c>
      <x:c r="B148" s="24" t="str">
        <x:v>G02_Toolbar</x:v>
      </x:c>
      <x:c r="C148" s="24" t="str">
        <x:v>Toolbar_Slicers_FieldParams</x:v>
      </x:c>
      <x:c r="D148" s="24" t="str">
        <x:v>G04_Month_Compare</x:v>
      </x:c>
      <x:c r="E148" s="24" t="str">
        <x:v>Bloc_Comparaison_Mois</x:v>
      </x:c>
      <x:c r="F148" s="25" t="n">
        <x:v>20</x:v>
      </x:c>
      <x:c r="G148" s="25" t="n">
        <x:v>260</x:v>
      </x:c>
      <x:c r="H148" s="25" t="n">
        <x:v>1500</x:v>
      </x:c>
      <x:c r="I148" s="25" t="n">
        <x:v>56</x:v>
      </x:c>
      <x:c r="J148" s="25" t="n">
        <x:f>F148+H148</x:f>
        <x:v>1520</x:v>
      </x:c>
      <x:c r="K148" s="25" t="n">
        <x:f>G148+I148</x:f>
        <x:v>316</x:v>
      </x:c>
      <x:c r="L148" s="25" t="n">
        <x:v>20</x:v>
      </x:c>
      <x:c r="M148" s="25" t="n">
        <x:v>530</x:v>
      </x:c>
      <x:c r="N148" s="25" t="n">
        <x:v>1500</x:v>
      </x:c>
      <x:c r="O148" s="25" t="n">
        <x:v>230</x:v>
      </x:c>
      <x:c r="P148" s="25" t="n">
        <x:f>L148+N148</x:f>
        <x:v>1520</x:v>
      </x:c>
      <x:c r="Q148" s="25" t="n">
        <x:f>M148+O148</x:f>
        <x:v>760</x:v>
      </x:c>
      <x:c r="R148" s="25" t="n">
        <x:f>MAX(0,MIN(J148,P148)-MAX(F148,L148))</x:f>
        <x:v>1500</x:v>
      </x:c>
      <x:c r="S148" s="25" t="n">
        <x:f>MAX(0,MIN(K148,Q148)-MAX(G148,M148))</x:f>
        <x:v>0</x:v>
      </x:c>
      <x:c r="T148" s="25" t="n">
        <x:f>R148*S148</x:f>
        <x:v>0</x:v>
      </x:c>
      <x:c r="U148" s="24" t="str">
        <x:f>IF(T148&gt;0,"ERREUR chevauchement","OK aucun chevauchement")</x:f>
        <x:v>OK aucun chevauchement</x:v>
      </x:c>
      <x:c r="V148" s="24" t="str">
        <x:v>OK aucun chevauchement</x:v>
      </x:c>
      <x:c r="W148" s="24" t="str">
        <x:v>Si ERREUR : déplacer/redimensionner l’objet B ou créer un bookmark/masquage</x:v>
      </x:c>
    </x:row>
    <x:row r="149">
      <x:c r="A149" s="24" t="str">
        <x:v>Affaires</x:v>
      </x:c>
      <x:c r="B149" s="24" t="str">
        <x:v>G02_Toolbar</x:v>
      </x:c>
      <x:c r="C149" s="24" t="str">
        <x:v>Toolbar_Slicers_FieldParams</x:v>
      </x:c>
      <x:c r="D149" s="24" t="str">
        <x:v>G05_Budget_Gauges</x:v>
      </x:c>
      <x:c r="E149" s="24" t="str">
        <x:v>Budget_Gauge_Row</x:v>
      </x:c>
      <x:c r="F149" s="25" t="n">
        <x:v>20</x:v>
      </x:c>
      <x:c r="G149" s="25" t="n">
        <x:v>260</x:v>
      </x:c>
      <x:c r="H149" s="25" t="n">
        <x:v>1500</x:v>
      </x:c>
      <x:c r="I149" s="25" t="n">
        <x:v>56</x:v>
      </x:c>
      <x:c r="J149" s="25" t="n">
        <x:f>F149+H149</x:f>
        <x:v>1520</x:v>
      </x:c>
      <x:c r="K149" s="25" t="n">
        <x:f>G149+I149</x:f>
        <x:v>316</x:v>
      </x:c>
      <x:c r="L149" s="25" t="n">
        <x:v>20</x:v>
      </x:c>
      <x:c r="M149" s="25" t="n">
        <x:v>780</x:v>
      </x:c>
      <x:c r="N149" s="25" t="n">
        <x:v>1500</x:v>
      </x:c>
      <x:c r="O149" s="25" t="n">
        <x:v>132</x:v>
      </x:c>
      <x:c r="P149" s="25" t="n">
        <x:f>L149+N149</x:f>
        <x:v>1520</x:v>
      </x:c>
      <x:c r="Q149" s="25" t="n">
        <x:f>M149+O149</x:f>
        <x:v>912</x:v>
      </x:c>
      <x:c r="R149" s="25" t="n">
        <x:f>MAX(0,MIN(J149,P149)-MAX(F149,L149))</x:f>
        <x:v>1500</x:v>
      </x:c>
      <x:c r="S149" s="25" t="n">
        <x:f>MAX(0,MIN(K149,Q149)-MAX(G149,M149))</x:f>
        <x:v>0</x:v>
      </x:c>
      <x:c r="T149" s="25" t="n">
        <x:f>R149*S149</x:f>
        <x:v>0</x:v>
      </x:c>
      <x:c r="U149" s="24" t="str">
        <x:f>IF(T149&gt;0,"ERREUR chevauchement","OK aucun chevauchement")</x:f>
        <x:v>OK aucun chevauchement</x:v>
      </x:c>
      <x:c r="V149" s="24" t="str">
        <x:v>OK aucun chevauchement</x:v>
      </x:c>
      <x:c r="W149" s="24" t="str">
        <x:v>Si ERREUR : déplacer/redimensionner l’objet B ou créer un bookmark/masquage</x:v>
      </x:c>
    </x:row>
    <x:row r="150">
      <x:c r="A150" s="24" t="str">
        <x:v>Affaires</x:v>
      </x:c>
      <x:c r="B150" s="24" t="str">
        <x:v>G02_Toolbar</x:v>
      </x:c>
      <x:c r="C150" s="24" t="str">
        <x:v>Toolbar_Slicers_FieldParams</x:v>
      </x:c>
      <x:c r="D150" s="24" t="str">
        <x:v>G06_Charts</x:v>
      </x:c>
      <x:c r="E150" s="24" t="str">
        <x:v>Line_Volume</x:v>
      </x:c>
      <x:c r="F150" s="25" t="n">
        <x:v>20</x:v>
      </x:c>
      <x:c r="G150" s="25" t="n">
        <x:v>260</x:v>
      </x:c>
      <x:c r="H150" s="25" t="n">
        <x:v>1500</x:v>
      </x:c>
      <x:c r="I150" s="25" t="n">
        <x:v>56</x:v>
      </x:c>
      <x:c r="J150" s="25" t="n">
        <x:f>F150+H150</x:f>
        <x:v>1520</x:v>
      </x:c>
      <x:c r="K150" s="25" t="n">
        <x:f>G150+I150</x:f>
        <x:v>316</x:v>
      </x:c>
      <x:c r="L150" s="25" t="n">
        <x:v>20</x:v>
      </x:c>
      <x:c r="M150" s="25" t="n">
        <x:v>932</x:v>
      </x:c>
      <x:c r="N150" s="25" t="n">
        <x:v>742</x:v>
      </x:c>
      <x:c r="O150" s="25" t="n">
        <x:v>360</x:v>
      </x:c>
      <x:c r="P150" s="25" t="n">
        <x:f>L150+N150</x:f>
        <x:v>762</x:v>
      </x:c>
      <x:c r="Q150" s="25" t="n">
        <x:f>M150+O150</x:f>
        <x:v>1292</x:v>
      </x:c>
      <x:c r="R150" s="25" t="n">
        <x:f>MAX(0,MIN(J150,P150)-MAX(F150,L150))</x:f>
        <x:v>742</x:v>
      </x:c>
      <x:c r="S150" s="25" t="n">
        <x:f>MAX(0,MIN(K150,Q150)-MAX(G150,M150))</x:f>
        <x:v>0</x:v>
      </x:c>
      <x:c r="T150" s="25" t="n">
        <x:f>R150*S150</x:f>
        <x:v>0</x:v>
      </x:c>
      <x:c r="U150" s="24" t="str">
        <x:f>IF(T150&gt;0,"ERREUR chevauchement","OK aucun chevauchement")</x:f>
        <x:v>OK aucun chevauchement</x:v>
      </x:c>
      <x:c r="V150" s="24" t="str">
        <x:v>OK aucun chevauchement</x:v>
      </x:c>
      <x:c r="W150" s="24" t="str">
        <x:v>Si ERREUR : déplacer/redimensionner l’objet B ou créer un bookmark/masquage</x:v>
      </x:c>
    </x:row>
    <x:row r="151">
      <x:c r="A151" s="24" t="str">
        <x:v>Affaires</x:v>
      </x:c>
      <x:c r="B151" s="24" t="str">
        <x:v>G02_Toolbar</x:v>
      </x:c>
      <x:c r="C151" s="24" t="str">
        <x:v>Toolbar_Slicers_FieldParams</x:v>
      </x:c>
      <x:c r="D151" s="24" t="str">
        <x:v>G06_Charts</x:v>
      </x:c>
      <x:c r="E151" s="24" t="str">
        <x:v>Bar_Axes_Affaires</x:v>
      </x:c>
      <x:c r="F151" s="25" t="n">
        <x:v>20</x:v>
      </x:c>
      <x:c r="G151" s="25" t="n">
        <x:v>260</x:v>
      </x:c>
      <x:c r="H151" s="25" t="n">
        <x:v>1500</x:v>
      </x:c>
      <x:c r="I151" s="25" t="n">
        <x:v>56</x:v>
      </x:c>
      <x:c r="J151" s="25" t="n">
        <x:f>F151+H151</x:f>
        <x:v>1520</x:v>
      </x:c>
      <x:c r="K151" s="25" t="n">
        <x:f>G151+I151</x:f>
        <x:v>316</x:v>
      </x:c>
      <x:c r="L151" s="25" t="n">
        <x:v>778</x:v>
      </x:c>
      <x:c r="M151" s="25" t="n">
        <x:v>932</x:v>
      </x:c>
      <x:c r="N151" s="25" t="n">
        <x:v>742</x:v>
      </x:c>
      <x:c r="O151" s="25" t="n">
        <x:v>360</x:v>
      </x:c>
      <x:c r="P151" s="25" t="n">
        <x:f>L151+N151</x:f>
        <x:v>1520</x:v>
      </x:c>
      <x:c r="Q151" s="25" t="n">
        <x:f>M151+O151</x:f>
        <x:v>1292</x:v>
      </x:c>
      <x:c r="R151" s="25" t="n">
        <x:f>MAX(0,MIN(J151,P151)-MAX(F151,L151))</x:f>
        <x:v>742</x:v>
      </x:c>
      <x:c r="S151" s="25" t="n">
        <x:f>MAX(0,MIN(K151,Q151)-MAX(G151,M151))</x:f>
        <x:v>0</x:v>
      </x:c>
      <x:c r="T151" s="25" t="n">
        <x:f>R151*S151</x:f>
        <x:v>0</x:v>
      </x:c>
      <x:c r="U151" s="24" t="str">
        <x:f>IF(T151&gt;0,"ERREUR chevauchement","OK aucun chevauchement")</x:f>
        <x:v>OK aucun chevauchement</x:v>
      </x:c>
      <x:c r="V151" s="24" t="str">
        <x:v>OK aucun chevauchement</x:v>
      </x:c>
      <x:c r="W151" s="24" t="str">
        <x:v>Si ERREUR : déplacer/redimensionner l’objet B ou créer un bookmark/masquage</x:v>
      </x:c>
    </x:row>
    <x:row r="152">
      <x:c r="A152" s="24" t="str">
        <x:v>Affaires</x:v>
      </x:c>
      <x:c r="B152" s="24" t="str">
        <x:v>G03_KPI_Row</x:v>
      </x:c>
      <x:c r="C152" s="24" t="str">
        <x:v>KPI_Card_01</x:v>
      </x:c>
      <x:c r="D152" s="24" t="str">
        <x:v>G03_KPI_Row</x:v>
      </x:c>
      <x:c r="E152" s="24" t="str">
        <x:v>KPI_Card_02</x:v>
      </x:c>
      <x:c r="F152" s="25" t="n">
        <x:v>20</x:v>
      </x:c>
      <x:c r="G152" s="25" t="n">
        <x:v>330</x:v>
      </x:c>
      <x:c r="H152" s="25" t="n">
        <x:v>287</x:v>
      </x:c>
      <x:c r="I152" s="25" t="n">
        <x:v>180</x:v>
      </x:c>
      <x:c r="J152" s="25" t="n">
        <x:f>F152+H152</x:f>
        <x:v>307</x:v>
      </x:c>
      <x:c r="K152" s="25" t="n">
        <x:f>G152+I152</x:f>
        <x:v>510</x:v>
      </x:c>
      <x:c r="L152" s="25" t="n">
        <x:v>323</x:v>
      </x:c>
      <x:c r="M152" s="25" t="n">
        <x:v>330</x:v>
      </x:c>
      <x:c r="N152" s="25" t="n">
        <x:v>287</x:v>
      </x:c>
      <x:c r="O152" s="25" t="n">
        <x:v>180</x:v>
      </x:c>
      <x:c r="P152" s="25" t="n">
        <x:f>L152+N152</x:f>
        <x:v>610</x:v>
      </x:c>
      <x:c r="Q152" s="25" t="n">
        <x:f>M152+O152</x:f>
        <x:v>510</x:v>
      </x:c>
      <x:c r="R152" s="25" t="n">
        <x:f>MAX(0,MIN(J152,P152)-MAX(F152,L152))</x:f>
        <x:v>0</x:v>
      </x:c>
      <x:c r="S152" s="25" t="n">
        <x:f>MAX(0,MIN(K152,Q152)-MAX(G152,M152))</x:f>
        <x:v>180</x:v>
      </x:c>
      <x:c r="T152" s="25" t="n">
        <x:f>R152*S152</x:f>
        <x:v>0</x:v>
      </x:c>
      <x:c r="U152" s="24" t="str">
        <x:f>IF(T152&gt;0,"ERREUR chevauchement","OK aucun chevauchement")</x:f>
        <x:v>OK aucun chevauchement</x:v>
      </x:c>
      <x:c r="V152" s="24" t="str">
        <x:v>OK aucun chevauchement</x:v>
      </x:c>
      <x:c r="W152" s="24" t="str">
        <x:v>Si ERREUR : déplacer/redimensionner l’objet B ou créer un bookmark/masquage</x:v>
      </x:c>
    </x:row>
    <x:row r="153">
      <x:c r="A153" s="24" t="str">
        <x:v>Affaires</x:v>
      </x:c>
      <x:c r="B153" s="24" t="str">
        <x:v>G03_KPI_Row</x:v>
      </x:c>
      <x:c r="C153" s="24" t="str">
        <x:v>KPI_Card_01</x:v>
      </x:c>
      <x:c r="D153" s="24" t="str">
        <x:v>G03_KPI_Row</x:v>
      </x:c>
      <x:c r="E153" s="24" t="str">
        <x:v>KPI_Card_03</x:v>
      </x:c>
      <x:c r="F153" s="25" t="n">
        <x:v>20</x:v>
      </x:c>
      <x:c r="G153" s="25" t="n">
        <x:v>330</x:v>
      </x:c>
      <x:c r="H153" s="25" t="n">
        <x:v>287</x:v>
      </x:c>
      <x:c r="I153" s="25" t="n">
        <x:v>180</x:v>
      </x:c>
      <x:c r="J153" s="25" t="n">
        <x:f>F153+H153</x:f>
        <x:v>307</x:v>
      </x:c>
      <x:c r="K153" s="25" t="n">
        <x:f>G153+I153</x:f>
        <x:v>510</x:v>
      </x:c>
      <x:c r="L153" s="25" t="n">
        <x:v>626</x:v>
      </x:c>
      <x:c r="M153" s="25" t="n">
        <x:v>330</x:v>
      </x:c>
      <x:c r="N153" s="25" t="n">
        <x:v>287</x:v>
      </x:c>
      <x:c r="O153" s="25" t="n">
        <x:v>180</x:v>
      </x:c>
      <x:c r="P153" s="25" t="n">
        <x:f>L153+N153</x:f>
        <x:v>913</x:v>
      </x:c>
      <x:c r="Q153" s="25" t="n">
        <x:f>M153+O153</x:f>
        <x:v>510</x:v>
      </x:c>
      <x:c r="R153" s="25" t="n">
        <x:f>MAX(0,MIN(J153,P153)-MAX(F153,L153))</x:f>
        <x:v>0</x:v>
      </x:c>
      <x:c r="S153" s="25" t="n">
        <x:f>MAX(0,MIN(K153,Q153)-MAX(G153,M153))</x:f>
        <x:v>180</x:v>
      </x:c>
      <x:c r="T153" s="25" t="n">
        <x:f>R153*S153</x:f>
        <x:v>0</x:v>
      </x:c>
      <x:c r="U153" s="24" t="str">
        <x:f>IF(T153&gt;0,"ERREUR chevauchement","OK aucun chevauchement")</x:f>
        <x:v>OK aucun chevauchement</x:v>
      </x:c>
      <x:c r="V153" s="24" t="str">
        <x:v>OK aucun chevauchement</x:v>
      </x:c>
      <x:c r="W153" s="24" t="str">
        <x:v>Si ERREUR : déplacer/redimensionner l’objet B ou créer un bookmark/masquage</x:v>
      </x:c>
    </x:row>
    <x:row r="154">
      <x:c r="A154" s="24" t="str">
        <x:v>Affaires</x:v>
      </x:c>
      <x:c r="B154" s="24" t="str">
        <x:v>G03_KPI_Row</x:v>
      </x:c>
      <x:c r="C154" s="24" t="str">
        <x:v>KPI_Card_01</x:v>
      </x:c>
      <x:c r="D154" s="24" t="str">
        <x:v>G03_KPI_Row</x:v>
      </x:c>
      <x:c r="E154" s="24" t="str">
        <x:v>KPI_Card_04</x:v>
      </x:c>
      <x:c r="F154" s="25" t="n">
        <x:v>20</x:v>
      </x:c>
      <x:c r="G154" s="25" t="n">
        <x:v>330</x:v>
      </x:c>
      <x:c r="H154" s="25" t="n">
        <x:v>287</x:v>
      </x:c>
      <x:c r="I154" s="25" t="n">
        <x:v>180</x:v>
      </x:c>
      <x:c r="J154" s="25" t="n">
        <x:f>F154+H154</x:f>
        <x:v>307</x:v>
      </x:c>
      <x:c r="K154" s="25" t="n">
        <x:f>G154+I154</x:f>
        <x:v>510</x:v>
      </x:c>
      <x:c r="L154" s="25" t="n">
        <x:v>929</x:v>
      </x:c>
      <x:c r="M154" s="25" t="n">
        <x:v>330</x:v>
      </x:c>
      <x:c r="N154" s="25" t="n">
        <x:v>287</x:v>
      </x:c>
      <x:c r="O154" s="25" t="n">
        <x:v>180</x:v>
      </x:c>
      <x:c r="P154" s="25" t="n">
        <x:f>L154+N154</x:f>
        <x:v>1216</x:v>
      </x:c>
      <x:c r="Q154" s="25" t="n">
        <x:f>M154+O154</x:f>
        <x:v>510</x:v>
      </x:c>
      <x:c r="R154" s="25" t="n">
        <x:f>MAX(0,MIN(J154,P154)-MAX(F154,L154))</x:f>
        <x:v>0</x:v>
      </x:c>
      <x:c r="S154" s="25" t="n">
        <x:f>MAX(0,MIN(K154,Q154)-MAX(G154,M154))</x:f>
        <x:v>180</x:v>
      </x:c>
      <x:c r="T154" s="25" t="n">
        <x:f>R154*S154</x:f>
        <x:v>0</x:v>
      </x:c>
      <x:c r="U154" s="24" t="str">
        <x:f>IF(T154&gt;0,"ERREUR chevauchement","OK aucun chevauchement")</x:f>
        <x:v>OK aucun chevauchement</x:v>
      </x:c>
      <x:c r="V154" s="24" t="str">
        <x:v>OK aucun chevauchement</x:v>
      </x:c>
      <x:c r="W154" s="24" t="str">
        <x:v>Si ERREUR : déplacer/redimensionner l’objet B ou créer un bookmark/masquage</x:v>
      </x:c>
    </x:row>
    <x:row r="155">
      <x:c r="A155" s="24" t="str">
        <x:v>Affaires</x:v>
      </x:c>
      <x:c r="B155" s="24" t="str">
        <x:v>G03_KPI_Row</x:v>
      </x:c>
      <x:c r="C155" s="24" t="str">
        <x:v>KPI_Card_01</x:v>
      </x:c>
      <x:c r="D155" s="24" t="str">
        <x:v>G03_KPI_Row</x:v>
      </x:c>
      <x:c r="E155" s="24" t="str">
        <x:v>KPI_Card_05</x:v>
      </x:c>
      <x:c r="F155" s="25" t="n">
        <x:v>20</x:v>
      </x:c>
      <x:c r="G155" s="25" t="n">
        <x:v>330</x:v>
      </x:c>
      <x:c r="H155" s="25" t="n">
        <x:v>287</x:v>
      </x:c>
      <x:c r="I155" s="25" t="n">
        <x:v>180</x:v>
      </x:c>
      <x:c r="J155" s="25" t="n">
        <x:f>F155+H155</x:f>
        <x:v>307</x:v>
      </x:c>
      <x:c r="K155" s="25" t="n">
        <x:f>G155+I155</x:f>
        <x:v>510</x:v>
      </x:c>
      <x:c r="L155" s="25" t="n">
        <x:v>1232</x:v>
      </x:c>
      <x:c r="M155" s="25" t="n">
        <x:v>330</x:v>
      </x:c>
      <x:c r="N155" s="25" t="n">
        <x:v>287</x:v>
      </x:c>
      <x:c r="O155" s="25" t="n">
        <x:v>180</x:v>
      </x:c>
      <x:c r="P155" s="25" t="n">
        <x:f>L155+N155</x:f>
        <x:v>1519</x:v>
      </x:c>
      <x:c r="Q155" s="25" t="n">
        <x:f>M155+O155</x:f>
        <x:v>510</x:v>
      </x:c>
      <x:c r="R155" s="25" t="n">
        <x:f>MAX(0,MIN(J155,P155)-MAX(F155,L155))</x:f>
        <x:v>0</x:v>
      </x:c>
      <x:c r="S155" s="25" t="n">
        <x:f>MAX(0,MIN(K155,Q155)-MAX(G155,M155))</x:f>
        <x:v>180</x:v>
      </x:c>
      <x:c r="T155" s="25" t="n">
        <x:f>R155*S155</x:f>
        <x:v>0</x:v>
      </x:c>
      <x:c r="U155" s="24" t="str">
        <x:f>IF(T155&gt;0,"ERREUR chevauchement","OK aucun chevauchement")</x:f>
        <x:v>OK aucun chevauchement</x:v>
      </x:c>
      <x:c r="V155" s="24" t="str">
        <x:v>OK aucun chevauchement</x:v>
      </x:c>
      <x:c r="W155" s="24" t="str">
        <x:v>Si ERREUR : déplacer/redimensionner l’objet B ou créer un bookmark/masquage</x:v>
      </x:c>
    </x:row>
    <x:row r="156">
      <x:c r="A156" s="24" t="str">
        <x:v>Affaires</x:v>
      </x:c>
      <x:c r="B156" s="24" t="str">
        <x:v>G03_KPI_Row</x:v>
      </x:c>
      <x:c r="C156" s="24" t="str">
        <x:v>KPI_Card_01</x:v>
      </x:c>
      <x:c r="D156" s="24" t="str">
        <x:v>G04_Month_Compare</x:v>
      </x:c>
      <x:c r="E156" s="24" t="str">
        <x:v>Bloc_Comparaison_Mois</x:v>
      </x:c>
      <x:c r="F156" s="25" t="n">
        <x:v>20</x:v>
      </x:c>
      <x:c r="G156" s="25" t="n">
        <x:v>330</x:v>
      </x:c>
      <x:c r="H156" s="25" t="n">
        <x:v>287</x:v>
      </x:c>
      <x:c r="I156" s="25" t="n">
        <x:v>180</x:v>
      </x:c>
      <x:c r="J156" s="25" t="n">
        <x:f>F156+H156</x:f>
        <x:v>307</x:v>
      </x:c>
      <x:c r="K156" s="25" t="n">
        <x:f>G156+I156</x:f>
        <x:v>510</x:v>
      </x:c>
      <x:c r="L156" s="25" t="n">
        <x:v>20</x:v>
      </x:c>
      <x:c r="M156" s="25" t="n">
        <x:v>530</x:v>
      </x:c>
      <x:c r="N156" s="25" t="n">
        <x:v>1500</x:v>
      </x:c>
      <x:c r="O156" s="25" t="n">
        <x:v>230</x:v>
      </x:c>
      <x:c r="P156" s="25" t="n">
        <x:f>L156+N156</x:f>
        <x:v>1520</x:v>
      </x:c>
      <x:c r="Q156" s="25" t="n">
        <x:f>M156+O156</x:f>
        <x:v>760</x:v>
      </x:c>
      <x:c r="R156" s="25" t="n">
        <x:f>MAX(0,MIN(J156,P156)-MAX(F156,L156))</x:f>
        <x:v>287</x:v>
      </x:c>
      <x:c r="S156" s="25" t="n">
        <x:f>MAX(0,MIN(K156,Q156)-MAX(G156,M156))</x:f>
        <x:v>0</x:v>
      </x:c>
      <x:c r="T156" s="25" t="n">
        <x:f>R156*S156</x:f>
        <x:v>0</x:v>
      </x:c>
      <x:c r="U156" s="24" t="str">
        <x:f>IF(T156&gt;0,"ERREUR chevauchement","OK aucun chevauchement")</x:f>
        <x:v>OK aucun chevauchement</x:v>
      </x:c>
      <x:c r="V156" s="24" t="str">
        <x:v>OK aucun chevauchement</x:v>
      </x:c>
      <x:c r="W156" s="24" t="str">
        <x:v>Si ERREUR : déplacer/redimensionner l’objet B ou créer un bookmark/masquage</x:v>
      </x:c>
    </x:row>
    <x:row r="157">
      <x:c r="A157" s="24" t="str">
        <x:v>Affaires</x:v>
      </x:c>
      <x:c r="B157" s="24" t="str">
        <x:v>G03_KPI_Row</x:v>
      </x:c>
      <x:c r="C157" s="24" t="str">
        <x:v>KPI_Card_01</x:v>
      </x:c>
      <x:c r="D157" s="24" t="str">
        <x:v>G05_Budget_Gauges</x:v>
      </x:c>
      <x:c r="E157" s="24" t="str">
        <x:v>Budget_Gauge_Row</x:v>
      </x:c>
      <x:c r="F157" s="25" t="n">
        <x:v>20</x:v>
      </x:c>
      <x:c r="G157" s="25" t="n">
        <x:v>330</x:v>
      </x:c>
      <x:c r="H157" s="25" t="n">
        <x:v>287</x:v>
      </x:c>
      <x:c r="I157" s="25" t="n">
        <x:v>180</x:v>
      </x:c>
      <x:c r="J157" s="25" t="n">
        <x:f>F157+H157</x:f>
        <x:v>307</x:v>
      </x:c>
      <x:c r="K157" s="25" t="n">
        <x:f>G157+I157</x:f>
        <x:v>510</x:v>
      </x:c>
      <x:c r="L157" s="25" t="n">
        <x:v>20</x:v>
      </x:c>
      <x:c r="M157" s="25" t="n">
        <x:v>780</x:v>
      </x:c>
      <x:c r="N157" s="25" t="n">
        <x:v>1500</x:v>
      </x:c>
      <x:c r="O157" s="25" t="n">
        <x:v>132</x:v>
      </x:c>
      <x:c r="P157" s="25" t="n">
        <x:f>L157+N157</x:f>
        <x:v>1520</x:v>
      </x:c>
      <x:c r="Q157" s="25" t="n">
        <x:f>M157+O157</x:f>
        <x:v>912</x:v>
      </x:c>
      <x:c r="R157" s="25" t="n">
        <x:f>MAX(0,MIN(J157,P157)-MAX(F157,L157))</x:f>
        <x:v>287</x:v>
      </x:c>
      <x:c r="S157" s="25" t="n">
        <x:f>MAX(0,MIN(K157,Q157)-MAX(G157,M157))</x:f>
        <x:v>0</x:v>
      </x:c>
      <x:c r="T157" s="25" t="n">
        <x:f>R157*S157</x:f>
        <x:v>0</x:v>
      </x:c>
      <x:c r="U157" s="24" t="str">
        <x:f>IF(T157&gt;0,"ERREUR chevauchement","OK aucun chevauchement")</x:f>
        <x:v>OK aucun chevauchement</x:v>
      </x:c>
      <x:c r="V157" s="24" t="str">
        <x:v>OK aucun chevauchement</x:v>
      </x:c>
      <x:c r="W157" s="24" t="str">
        <x:v>Si ERREUR : déplacer/redimensionner l’objet B ou créer un bookmark/masquage</x:v>
      </x:c>
    </x:row>
    <x:row r="158">
      <x:c r="A158" s="24" t="str">
        <x:v>Affaires</x:v>
      </x:c>
      <x:c r="B158" s="24" t="str">
        <x:v>G03_KPI_Row</x:v>
      </x:c>
      <x:c r="C158" s="24" t="str">
        <x:v>KPI_Card_01</x:v>
      </x:c>
      <x:c r="D158" s="24" t="str">
        <x:v>G06_Charts</x:v>
      </x:c>
      <x:c r="E158" s="24" t="str">
        <x:v>Line_Volume</x:v>
      </x:c>
      <x:c r="F158" s="25" t="n">
        <x:v>20</x:v>
      </x:c>
      <x:c r="G158" s="25" t="n">
        <x:v>330</x:v>
      </x:c>
      <x:c r="H158" s="25" t="n">
        <x:v>287</x:v>
      </x:c>
      <x:c r="I158" s="25" t="n">
        <x:v>180</x:v>
      </x:c>
      <x:c r="J158" s="25" t="n">
        <x:f>F158+H158</x:f>
        <x:v>307</x:v>
      </x:c>
      <x:c r="K158" s="25" t="n">
        <x:f>G158+I158</x:f>
        <x:v>510</x:v>
      </x:c>
      <x:c r="L158" s="25" t="n">
        <x:v>20</x:v>
      </x:c>
      <x:c r="M158" s="25" t="n">
        <x:v>932</x:v>
      </x:c>
      <x:c r="N158" s="25" t="n">
        <x:v>742</x:v>
      </x:c>
      <x:c r="O158" s="25" t="n">
        <x:v>360</x:v>
      </x:c>
      <x:c r="P158" s="25" t="n">
        <x:f>L158+N158</x:f>
        <x:v>762</x:v>
      </x:c>
      <x:c r="Q158" s="25" t="n">
        <x:f>M158+O158</x:f>
        <x:v>1292</x:v>
      </x:c>
      <x:c r="R158" s="25" t="n">
        <x:f>MAX(0,MIN(J158,P158)-MAX(F158,L158))</x:f>
        <x:v>287</x:v>
      </x:c>
      <x:c r="S158" s="25" t="n">
        <x:f>MAX(0,MIN(K158,Q158)-MAX(G158,M158))</x:f>
        <x:v>0</x:v>
      </x:c>
      <x:c r="T158" s="25" t="n">
        <x:f>R158*S158</x:f>
        <x:v>0</x:v>
      </x:c>
      <x:c r="U158" s="24" t="str">
        <x:f>IF(T158&gt;0,"ERREUR chevauchement","OK aucun chevauchement")</x:f>
        <x:v>OK aucun chevauchement</x:v>
      </x:c>
      <x:c r="V158" s="24" t="str">
        <x:v>OK aucun chevauchement</x:v>
      </x:c>
      <x:c r="W158" s="24" t="str">
        <x:v>Si ERREUR : déplacer/redimensionner l’objet B ou créer un bookmark/masquage</x:v>
      </x:c>
    </x:row>
    <x:row r="159">
      <x:c r="A159" s="24" t="str">
        <x:v>Affaires</x:v>
      </x:c>
      <x:c r="B159" s="24" t="str">
        <x:v>G03_KPI_Row</x:v>
      </x:c>
      <x:c r="C159" s="24" t="str">
        <x:v>KPI_Card_01</x:v>
      </x:c>
      <x:c r="D159" s="24" t="str">
        <x:v>G06_Charts</x:v>
      </x:c>
      <x:c r="E159" s="24" t="str">
        <x:v>Bar_Axes_Affaires</x:v>
      </x:c>
      <x:c r="F159" s="25" t="n">
        <x:v>20</x:v>
      </x:c>
      <x:c r="G159" s="25" t="n">
        <x:v>330</x:v>
      </x:c>
      <x:c r="H159" s="25" t="n">
        <x:v>287</x:v>
      </x:c>
      <x:c r="I159" s="25" t="n">
        <x:v>180</x:v>
      </x:c>
      <x:c r="J159" s="25" t="n">
        <x:f>F159+H159</x:f>
        <x:v>307</x:v>
      </x:c>
      <x:c r="K159" s="25" t="n">
        <x:f>G159+I159</x:f>
        <x:v>510</x:v>
      </x:c>
      <x:c r="L159" s="25" t="n">
        <x:v>778</x:v>
      </x:c>
      <x:c r="M159" s="25" t="n">
        <x:v>932</x:v>
      </x:c>
      <x:c r="N159" s="25" t="n">
        <x:v>742</x:v>
      </x:c>
      <x:c r="O159" s="25" t="n">
        <x:v>360</x:v>
      </x:c>
      <x:c r="P159" s="25" t="n">
        <x:f>L159+N159</x:f>
        <x:v>1520</x:v>
      </x:c>
      <x:c r="Q159" s="25" t="n">
        <x:f>M159+O159</x:f>
        <x:v>1292</x:v>
      </x:c>
      <x:c r="R159" s="25" t="n">
        <x:f>MAX(0,MIN(J159,P159)-MAX(F159,L159))</x:f>
        <x:v>0</x:v>
      </x:c>
      <x:c r="S159" s="25" t="n">
        <x:f>MAX(0,MIN(K159,Q159)-MAX(G159,M159))</x:f>
        <x:v>0</x:v>
      </x:c>
      <x:c r="T159" s="25" t="n">
        <x:f>R159*S159</x:f>
        <x:v>0</x:v>
      </x:c>
      <x:c r="U159" s="24" t="str">
        <x:f>IF(T159&gt;0,"ERREUR chevauchement","OK aucun chevauchement")</x:f>
        <x:v>OK aucun chevauchement</x:v>
      </x:c>
      <x:c r="V159" s="24" t="str">
        <x:v>OK aucun chevauchement</x:v>
      </x:c>
      <x:c r="W159" s="24" t="str">
        <x:v>Si ERREUR : déplacer/redimensionner l’objet B ou créer un bookmark/masquage</x:v>
      </x:c>
    </x:row>
    <x:row r="160">
      <x:c r="A160" s="24" t="str">
        <x:v>Affaires</x:v>
      </x:c>
      <x:c r="B160" s="24" t="str">
        <x:v>G03_KPI_Row</x:v>
      </x:c>
      <x:c r="C160" s="24" t="str">
        <x:v>KPI_Card_02</x:v>
      </x:c>
      <x:c r="D160" s="24" t="str">
        <x:v>G03_KPI_Row</x:v>
      </x:c>
      <x:c r="E160" s="24" t="str">
        <x:v>KPI_Card_03</x:v>
      </x:c>
      <x:c r="F160" s="25" t="n">
        <x:v>323</x:v>
      </x:c>
      <x:c r="G160" s="25" t="n">
        <x:v>330</x:v>
      </x:c>
      <x:c r="H160" s="25" t="n">
        <x:v>287</x:v>
      </x:c>
      <x:c r="I160" s="25" t="n">
        <x:v>180</x:v>
      </x:c>
      <x:c r="J160" s="25" t="n">
        <x:f>F160+H160</x:f>
        <x:v>610</x:v>
      </x:c>
      <x:c r="K160" s="25" t="n">
        <x:f>G160+I160</x:f>
        <x:v>510</x:v>
      </x:c>
      <x:c r="L160" s="25" t="n">
        <x:v>626</x:v>
      </x:c>
      <x:c r="M160" s="25" t="n">
        <x:v>330</x:v>
      </x:c>
      <x:c r="N160" s="25" t="n">
        <x:v>287</x:v>
      </x:c>
      <x:c r="O160" s="25" t="n">
        <x:v>180</x:v>
      </x:c>
      <x:c r="P160" s="25" t="n">
        <x:f>L160+N160</x:f>
        <x:v>913</x:v>
      </x:c>
      <x:c r="Q160" s="25" t="n">
        <x:f>M160+O160</x:f>
        <x:v>510</x:v>
      </x:c>
      <x:c r="R160" s="25" t="n">
        <x:f>MAX(0,MIN(J160,P160)-MAX(F160,L160))</x:f>
        <x:v>0</x:v>
      </x:c>
      <x:c r="S160" s="25" t="n">
        <x:f>MAX(0,MIN(K160,Q160)-MAX(G160,M160))</x:f>
        <x:v>180</x:v>
      </x:c>
      <x:c r="T160" s="25" t="n">
        <x:f>R160*S160</x:f>
        <x:v>0</x:v>
      </x:c>
      <x:c r="U160" s="24" t="str">
        <x:f>IF(T160&gt;0,"ERREUR chevauchement","OK aucun chevauchement")</x:f>
        <x:v>OK aucun chevauchement</x:v>
      </x:c>
      <x:c r="V160" s="24" t="str">
        <x:v>OK aucun chevauchement</x:v>
      </x:c>
      <x:c r="W160" s="24" t="str">
        <x:v>Si ERREUR : déplacer/redimensionner l’objet B ou créer un bookmark/masquage</x:v>
      </x:c>
    </x:row>
    <x:row r="161">
      <x:c r="A161" s="24" t="str">
        <x:v>Affaires</x:v>
      </x:c>
      <x:c r="B161" s="24" t="str">
        <x:v>G03_KPI_Row</x:v>
      </x:c>
      <x:c r="C161" s="24" t="str">
        <x:v>KPI_Card_02</x:v>
      </x:c>
      <x:c r="D161" s="24" t="str">
        <x:v>G03_KPI_Row</x:v>
      </x:c>
      <x:c r="E161" s="24" t="str">
        <x:v>KPI_Card_04</x:v>
      </x:c>
      <x:c r="F161" s="25" t="n">
        <x:v>323</x:v>
      </x:c>
      <x:c r="G161" s="25" t="n">
        <x:v>330</x:v>
      </x:c>
      <x:c r="H161" s="25" t="n">
        <x:v>287</x:v>
      </x:c>
      <x:c r="I161" s="25" t="n">
        <x:v>180</x:v>
      </x:c>
      <x:c r="J161" s="25" t="n">
        <x:f>F161+H161</x:f>
        <x:v>610</x:v>
      </x:c>
      <x:c r="K161" s="25" t="n">
        <x:f>G161+I161</x:f>
        <x:v>510</x:v>
      </x:c>
      <x:c r="L161" s="25" t="n">
        <x:v>929</x:v>
      </x:c>
      <x:c r="M161" s="25" t="n">
        <x:v>330</x:v>
      </x:c>
      <x:c r="N161" s="25" t="n">
        <x:v>287</x:v>
      </x:c>
      <x:c r="O161" s="25" t="n">
        <x:v>180</x:v>
      </x:c>
      <x:c r="P161" s="25" t="n">
        <x:f>L161+N161</x:f>
        <x:v>1216</x:v>
      </x:c>
      <x:c r="Q161" s="25" t="n">
        <x:f>M161+O161</x:f>
        <x:v>510</x:v>
      </x:c>
      <x:c r="R161" s="25" t="n">
        <x:f>MAX(0,MIN(J161,P161)-MAX(F161,L161))</x:f>
        <x:v>0</x:v>
      </x:c>
      <x:c r="S161" s="25" t="n">
        <x:f>MAX(0,MIN(K161,Q161)-MAX(G161,M161))</x:f>
        <x:v>180</x:v>
      </x:c>
      <x:c r="T161" s="25" t="n">
        <x:f>R161*S161</x:f>
        <x:v>0</x:v>
      </x:c>
      <x:c r="U161" s="24" t="str">
        <x:f>IF(T161&gt;0,"ERREUR chevauchement","OK aucun chevauchement")</x:f>
        <x:v>OK aucun chevauchement</x:v>
      </x:c>
      <x:c r="V161" s="24" t="str">
        <x:v>OK aucun chevauchement</x:v>
      </x:c>
      <x:c r="W161" s="24" t="str">
        <x:v>Si ERREUR : déplacer/redimensionner l’objet B ou créer un bookmark/masquage</x:v>
      </x:c>
    </x:row>
    <x:row r="162">
      <x:c r="A162" s="24" t="str">
        <x:v>Affaires</x:v>
      </x:c>
      <x:c r="B162" s="24" t="str">
        <x:v>G03_KPI_Row</x:v>
      </x:c>
      <x:c r="C162" s="24" t="str">
        <x:v>KPI_Card_02</x:v>
      </x:c>
      <x:c r="D162" s="24" t="str">
        <x:v>G03_KPI_Row</x:v>
      </x:c>
      <x:c r="E162" s="24" t="str">
        <x:v>KPI_Card_05</x:v>
      </x:c>
      <x:c r="F162" s="25" t="n">
        <x:v>323</x:v>
      </x:c>
      <x:c r="G162" s="25" t="n">
        <x:v>330</x:v>
      </x:c>
      <x:c r="H162" s="25" t="n">
        <x:v>287</x:v>
      </x:c>
      <x:c r="I162" s="25" t="n">
        <x:v>180</x:v>
      </x:c>
      <x:c r="J162" s="25" t="n">
        <x:f>F162+H162</x:f>
        <x:v>610</x:v>
      </x:c>
      <x:c r="K162" s="25" t="n">
        <x:f>G162+I162</x:f>
        <x:v>510</x:v>
      </x:c>
      <x:c r="L162" s="25" t="n">
        <x:v>1232</x:v>
      </x:c>
      <x:c r="M162" s="25" t="n">
        <x:v>330</x:v>
      </x:c>
      <x:c r="N162" s="25" t="n">
        <x:v>287</x:v>
      </x:c>
      <x:c r="O162" s="25" t="n">
        <x:v>180</x:v>
      </x:c>
      <x:c r="P162" s="25" t="n">
        <x:f>L162+N162</x:f>
        <x:v>1519</x:v>
      </x:c>
      <x:c r="Q162" s="25" t="n">
        <x:f>M162+O162</x:f>
        <x:v>510</x:v>
      </x:c>
      <x:c r="R162" s="25" t="n">
        <x:f>MAX(0,MIN(J162,P162)-MAX(F162,L162))</x:f>
        <x:v>0</x:v>
      </x:c>
      <x:c r="S162" s="25" t="n">
        <x:f>MAX(0,MIN(K162,Q162)-MAX(G162,M162))</x:f>
        <x:v>180</x:v>
      </x:c>
      <x:c r="T162" s="25" t="n">
        <x:f>R162*S162</x:f>
        <x:v>0</x:v>
      </x:c>
      <x:c r="U162" s="24" t="str">
        <x:f>IF(T162&gt;0,"ERREUR chevauchement","OK aucun chevauchement")</x:f>
        <x:v>OK aucun chevauchement</x:v>
      </x:c>
      <x:c r="V162" s="24" t="str">
        <x:v>OK aucun chevauchement</x:v>
      </x:c>
      <x:c r="W162" s="24" t="str">
        <x:v>Si ERREUR : déplacer/redimensionner l’objet B ou créer un bookmark/masquage</x:v>
      </x:c>
    </x:row>
    <x:row r="163">
      <x:c r="A163" s="24" t="str">
        <x:v>Affaires</x:v>
      </x:c>
      <x:c r="B163" s="24" t="str">
        <x:v>G03_KPI_Row</x:v>
      </x:c>
      <x:c r="C163" s="24" t="str">
        <x:v>KPI_Card_02</x:v>
      </x:c>
      <x:c r="D163" s="24" t="str">
        <x:v>G04_Month_Compare</x:v>
      </x:c>
      <x:c r="E163" s="24" t="str">
        <x:v>Bloc_Comparaison_Mois</x:v>
      </x:c>
      <x:c r="F163" s="25" t="n">
        <x:v>323</x:v>
      </x:c>
      <x:c r="G163" s="25" t="n">
        <x:v>330</x:v>
      </x:c>
      <x:c r="H163" s="25" t="n">
        <x:v>287</x:v>
      </x:c>
      <x:c r="I163" s="25" t="n">
        <x:v>180</x:v>
      </x:c>
      <x:c r="J163" s="25" t="n">
        <x:f>F163+H163</x:f>
        <x:v>610</x:v>
      </x:c>
      <x:c r="K163" s="25" t="n">
        <x:f>G163+I163</x:f>
        <x:v>510</x:v>
      </x:c>
      <x:c r="L163" s="25" t="n">
        <x:v>20</x:v>
      </x:c>
      <x:c r="M163" s="25" t="n">
        <x:v>530</x:v>
      </x:c>
      <x:c r="N163" s="25" t="n">
        <x:v>1500</x:v>
      </x:c>
      <x:c r="O163" s="25" t="n">
        <x:v>230</x:v>
      </x:c>
      <x:c r="P163" s="25" t="n">
        <x:f>L163+N163</x:f>
        <x:v>1520</x:v>
      </x:c>
      <x:c r="Q163" s="25" t="n">
        <x:f>M163+O163</x:f>
        <x:v>760</x:v>
      </x:c>
      <x:c r="R163" s="25" t="n">
        <x:f>MAX(0,MIN(J163,P163)-MAX(F163,L163))</x:f>
        <x:v>287</x:v>
      </x:c>
      <x:c r="S163" s="25" t="n">
        <x:f>MAX(0,MIN(K163,Q163)-MAX(G163,M163))</x:f>
        <x:v>0</x:v>
      </x:c>
      <x:c r="T163" s="25" t="n">
        <x:f>R163*S163</x:f>
        <x:v>0</x:v>
      </x:c>
      <x:c r="U163" s="24" t="str">
        <x:f>IF(T163&gt;0,"ERREUR chevauchement","OK aucun chevauchement")</x:f>
        <x:v>OK aucun chevauchement</x:v>
      </x:c>
      <x:c r="V163" s="24" t="str">
        <x:v>OK aucun chevauchement</x:v>
      </x:c>
      <x:c r="W163" s="24" t="str">
        <x:v>Si ERREUR : déplacer/redimensionner l’objet B ou créer un bookmark/masquage</x:v>
      </x:c>
    </x:row>
    <x:row r="164">
      <x:c r="A164" s="24" t="str">
        <x:v>Affaires</x:v>
      </x:c>
      <x:c r="B164" s="24" t="str">
        <x:v>G03_KPI_Row</x:v>
      </x:c>
      <x:c r="C164" s="24" t="str">
        <x:v>KPI_Card_02</x:v>
      </x:c>
      <x:c r="D164" s="24" t="str">
        <x:v>G05_Budget_Gauges</x:v>
      </x:c>
      <x:c r="E164" s="24" t="str">
        <x:v>Budget_Gauge_Row</x:v>
      </x:c>
      <x:c r="F164" s="25" t="n">
        <x:v>323</x:v>
      </x:c>
      <x:c r="G164" s="25" t="n">
        <x:v>330</x:v>
      </x:c>
      <x:c r="H164" s="25" t="n">
        <x:v>287</x:v>
      </x:c>
      <x:c r="I164" s="25" t="n">
        <x:v>180</x:v>
      </x:c>
      <x:c r="J164" s="25" t="n">
        <x:f>F164+H164</x:f>
        <x:v>610</x:v>
      </x:c>
      <x:c r="K164" s="25" t="n">
        <x:f>G164+I164</x:f>
        <x:v>510</x:v>
      </x:c>
      <x:c r="L164" s="25" t="n">
        <x:v>20</x:v>
      </x:c>
      <x:c r="M164" s="25" t="n">
        <x:v>780</x:v>
      </x:c>
      <x:c r="N164" s="25" t="n">
        <x:v>1500</x:v>
      </x:c>
      <x:c r="O164" s="25" t="n">
        <x:v>132</x:v>
      </x:c>
      <x:c r="P164" s="25" t="n">
        <x:f>L164+N164</x:f>
        <x:v>1520</x:v>
      </x:c>
      <x:c r="Q164" s="25" t="n">
        <x:f>M164+O164</x:f>
        <x:v>912</x:v>
      </x:c>
      <x:c r="R164" s="25" t="n">
        <x:f>MAX(0,MIN(J164,P164)-MAX(F164,L164))</x:f>
        <x:v>287</x:v>
      </x:c>
      <x:c r="S164" s="25" t="n">
        <x:f>MAX(0,MIN(K164,Q164)-MAX(G164,M164))</x:f>
        <x:v>0</x:v>
      </x:c>
      <x:c r="T164" s="25" t="n">
        <x:f>R164*S164</x:f>
        <x:v>0</x:v>
      </x:c>
      <x:c r="U164" s="24" t="str">
        <x:f>IF(T164&gt;0,"ERREUR chevauchement","OK aucun chevauchement")</x:f>
        <x:v>OK aucun chevauchement</x:v>
      </x:c>
      <x:c r="V164" s="24" t="str">
        <x:v>OK aucun chevauchement</x:v>
      </x:c>
      <x:c r="W164" s="24" t="str">
        <x:v>Si ERREUR : déplacer/redimensionner l’objet B ou créer un bookmark/masquage</x:v>
      </x:c>
    </x:row>
    <x:row r="165">
      <x:c r="A165" s="24" t="str">
        <x:v>Affaires</x:v>
      </x:c>
      <x:c r="B165" s="24" t="str">
        <x:v>G03_KPI_Row</x:v>
      </x:c>
      <x:c r="C165" s="24" t="str">
        <x:v>KPI_Card_02</x:v>
      </x:c>
      <x:c r="D165" s="24" t="str">
        <x:v>G06_Charts</x:v>
      </x:c>
      <x:c r="E165" s="24" t="str">
        <x:v>Line_Volume</x:v>
      </x:c>
      <x:c r="F165" s="25" t="n">
        <x:v>323</x:v>
      </x:c>
      <x:c r="G165" s="25" t="n">
        <x:v>330</x:v>
      </x:c>
      <x:c r="H165" s="25" t="n">
        <x:v>287</x:v>
      </x:c>
      <x:c r="I165" s="25" t="n">
        <x:v>180</x:v>
      </x:c>
      <x:c r="J165" s="25" t="n">
        <x:f>F165+H165</x:f>
        <x:v>610</x:v>
      </x:c>
      <x:c r="K165" s="25" t="n">
        <x:f>G165+I165</x:f>
        <x:v>510</x:v>
      </x:c>
      <x:c r="L165" s="25" t="n">
        <x:v>20</x:v>
      </x:c>
      <x:c r="M165" s="25" t="n">
        <x:v>932</x:v>
      </x:c>
      <x:c r="N165" s="25" t="n">
        <x:v>742</x:v>
      </x:c>
      <x:c r="O165" s="25" t="n">
        <x:v>360</x:v>
      </x:c>
      <x:c r="P165" s="25" t="n">
        <x:f>L165+N165</x:f>
        <x:v>762</x:v>
      </x:c>
      <x:c r="Q165" s="25" t="n">
        <x:f>M165+O165</x:f>
        <x:v>1292</x:v>
      </x:c>
      <x:c r="R165" s="25" t="n">
        <x:f>MAX(0,MIN(J165,P165)-MAX(F165,L165))</x:f>
        <x:v>287</x:v>
      </x:c>
      <x:c r="S165" s="25" t="n">
        <x:f>MAX(0,MIN(K165,Q165)-MAX(G165,M165))</x:f>
        <x:v>0</x:v>
      </x:c>
      <x:c r="T165" s="25" t="n">
        <x:f>R165*S165</x:f>
        <x:v>0</x:v>
      </x:c>
      <x:c r="U165" s="24" t="str">
        <x:f>IF(T165&gt;0,"ERREUR chevauchement","OK aucun chevauchement")</x:f>
        <x:v>OK aucun chevauchement</x:v>
      </x:c>
      <x:c r="V165" s="24" t="str">
        <x:v>OK aucun chevauchement</x:v>
      </x:c>
      <x:c r="W165" s="24" t="str">
        <x:v>Si ERREUR : déplacer/redimensionner l’objet B ou créer un bookmark/masquage</x:v>
      </x:c>
    </x:row>
    <x:row r="166">
      <x:c r="A166" s="24" t="str">
        <x:v>Affaires</x:v>
      </x:c>
      <x:c r="B166" s="24" t="str">
        <x:v>G03_KPI_Row</x:v>
      </x:c>
      <x:c r="C166" s="24" t="str">
        <x:v>KPI_Card_02</x:v>
      </x:c>
      <x:c r="D166" s="24" t="str">
        <x:v>G06_Charts</x:v>
      </x:c>
      <x:c r="E166" s="24" t="str">
        <x:v>Bar_Axes_Affaires</x:v>
      </x:c>
      <x:c r="F166" s="25" t="n">
        <x:v>323</x:v>
      </x:c>
      <x:c r="G166" s="25" t="n">
        <x:v>330</x:v>
      </x:c>
      <x:c r="H166" s="25" t="n">
        <x:v>287</x:v>
      </x:c>
      <x:c r="I166" s="25" t="n">
        <x:v>180</x:v>
      </x:c>
      <x:c r="J166" s="25" t="n">
        <x:f>F166+H166</x:f>
        <x:v>610</x:v>
      </x:c>
      <x:c r="K166" s="25" t="n">
        <x:f>G166+I166</x:f>
        <x:v>510</x:v>
      </x:c>
      <x:c r="L166" s="25" t="n">
        <x:v>778</x:v>
      </x:c>
      <x:c r="M166" s="25" t="n">
        <x:v>932</x:v>
      </x:c>
      <x:c r="N166" s="25" t="n">
        <x:v>742</x:v>
      </x:c>
      <x:c r="O166" s="25" t="n">
        <x:v>360</x:v>
      </x:c>
      <x:c r="P166" s="25" t="n">
        <x:f>L166+N166</x:f>
        <x:v>1520</x:v>
      </x:c>
      <x:c r="Q166" s="25" t="n">
        <x:f>M166+O166</x:f>
        <x:v>1292</x:v>
      </x:c>
      <x:c r="R166" s="25" t="n">
        <x:f>MAX(0,MIN(J166,P166)-MAX(F166,L166))</x:f>
        <x:v>0</x:v>
      </x:c>
      <x:c r="S166" s="25" t="n">
        <x:f>MAX(0,MIN(K166,Q166)-MAX(G166,M166))</x:f>
        <x:v>0</x:v>
      </x:c>
      <x:c r="T166" s="25" t="n">
        <x:f>R166*S166</x:f>
        <x:v>0</x:v>
      </x:c>
      <x:c r="U166" s="24" t="str">
        <x:f>IF(T166&gt;0,"ERREUR chevauchement","OK aucun chevauchement")</x:f>
        <x:v>OK aucun chevauchement</x:v>
      </x:c>
      <x:c r="V166" s="24" t="str">
        <x:v>OK aucun chevauchement</x:v>
      </x:c>
      <x:c r="W166" s="24" t="str">
        <x:v>Si ERREUR : déplacer/redimensionner l’objet B ou créer un bookmark/masquage</x:v>
      </x:c>
    </x:row>
    <x:row r="167">
      <x:c r="A167" s="24" t="str">
        <x:v>Affaires</x:v>
      </x:c>
      <x:c r="B167" s="24" t="str">
        <x:v>G03_KPI_Row</x:v>
      </x:c>
      <x:c r="C167" s="24" t="str">
        <x:v>KPI_Card_03</x:v>
      </x:c>
      <x:c r="D167" s="24" t="str">
        <x:v>G03_KPI_Row</x:v>
      </x:c>
      <x:c r="E167" s="24" t="str">
        <x:v>KPI_Card_04</x:v>
      </x:c>
      <x:c r="F167" s="25" t="n">
        <x:v>626</x:v>
      </x:c>
      <x:c r="G167" s="25" t="n">
        <x:v>330</x:v>
      </x:c>
      <x:c r="H167" s="25" t="n">
        <x:v>287</x:v>
      </x:c>
      <x:c r="I167" s="25" t="n">
        <x:v>180</x:v>
      </x:c>
      <x:c r="J167" s="25" t="n">
        <x:f>F167+H167</x:f>
        <x:v>913</x:v>
      </x:c>
      <x:c r="K167" s="25" t="n">
        <x:f>G167+I167</x:f>
        <x:v>510</x:v>
      </x:c>
      <x:c r="L167" s="25" t="n">
        <x:v>929</x:v>
      </x:c>
      <x:c r="M167" s="25" t="n">
        <x:v>330</x:v>
      </x:c>
      <x:c r="N167" s="25" t="n">
        <x:v>287</x:v>
      </x:c>
      <x:c r="O167" s="25" t="n">
        <x:v>180</x:v>
      </x:c>
      <x:c r="P167" s="25" t="n">
        <x:f>L167+N167</x:f>
        <x:v>1216</x:v>
      </x:c>
      <x:c r="Q167" s="25" t="n">
        <x:f>M167+O167</x:f>
        <x:v>510</x:v>
      </x:c>
      <x:c r="R167" s="25" t="n">
        <x:f>MAX(0,MIN(J167,P167)-MAX(F167,L167))</x:f>
        <x:v>0</x:v>
      </x:c>
      <x:c r="S167" s="25" t="n">
        <x:f>MAX(0,MIN(K167,Q167)-MAX(G167,M167))</x:f>
        <x:v>180</x:v>
      </x:c>
      <x:c r="T167" s="25" t="n">
        <x:f>R167*S167</x:f>
        <x:v>0</x:v>
      </x:c>
      <x:c r="U167" s="24" t="str">
        <x:f>IF(T167&gt;0,"ERREUR chevauchement","OK aucun chevauchement")</x:f>
        <x:v>OK aucun chevauchement</x:v>
      </x:c>
      <x:c r="V167" s="24" t="str">
        <x:v>OK aucun chevauchement</x:v>
      </x:c>
      <x:c r="W167" s="24" t="str">
        <x:v>Si ERREUR : déplacer/redimensionner l’objet B ou créer un bookmark/masquage</x:v>
      </x:c>
    </x:row>
    <x:row r="168">
      <x:c r="A168" s="24" t="str">
        <x:v>Affaires</x:v>
      </x:c>
      <x:c r="B168" s="24" t="str">
        <x:v>G03_KPI_Row</x:v>
      </x:c>
      <x:c r="C168" s="24" t="str">
        <x:v>KPI_Card_03</x:v>
      </x:c>
      <x:c r="D168" s="24" t="str">
        <x:v>G03_KPI_Row</x:v>
      </x:c>
      <x:c r="E168" s="24" t="str">
        <x:v>KPI_Card_05</x:v>
      </x:c>
      <x:c r="F168" s="25" t="n">
        <x:v>626</x:v>
      </x:c>
      <x:c r="G168" s="25" t="n">
        <x:v>330</x:v>
      </x:c>
      <x:c r="H168" s="25" t="n">
        <x:v>287</x:v>
      </x:c>
      <x:c r="I168" s="25" t="n">
        <x:v>180</x:v>
      </x:c>
      <x:c r="J168" s="25" t="n">
        <x:f>F168+H168</x:f>
        <x:v>913</x:v>
      </x:c>
      <x:c r="K168" s="25" t="n">
        <x:f>G168+I168</x:f>
        <x:v>510</x:v>
      </x:c>
      <x:c r="L168" s="25" t="n">
        <x:v>1232</x:v>
      </x:c>
      <x:c r="M168" s="25" t="n">
        <x:v>330</x:v>
      </x:c>
      <x:c r="N168" s="25" t="n">
        <x:v>287</x:v>
      </x:c>
      <x:c r="O168" s="25" t="n">
        <x:v>180</x:v>
      </x:c>
      <x:c r="P168" s="25" t="n">
        <x:f>L168+N168</x:f>
        <x:v>1519</x:v>
      </x:c>
      <x:c r="Q168" s="25" t="n">
        <x:f>M168+O168</x:f>
        <x:v>510</x:v>
      </x:c>
      <x:c r="R168" s="25" t="n">
        <x:f>MAX(0,MIN(J168,P168)-MAX(F168,L168))</x:f>
        <x:v>0</x:v>
      </x:c>
      <x:c r="S168" s="25" t="n">
        <x:f>MAX(0,MIN(K168,Q168)-MAX(G168,M168))</x:f>
        <x:v>180</x:v>
      </x:c>
      <x:c r="T168" s="25" t="n">
        <x:f>R168*S168</x:f>
        <x:v>0</x:v>
      </x:c>
      <x:c r="U168" s="24" t="str">
        <x:f>IF(T168&gt;0,"ERREUR chevauchement","OK aucun chevauchement")</x:f>
        <x:v>OK aucun chevauchement</x:v>
      </x:c>
      <x:c r="V168" s="24" t="str">
        <x:v>OK aucun chevauchement</x:v>
      </x:c>
      <x:c r="W168" s="24" t="str">
        <x:v>Si ERREUR : déplacer/redimensionner l’objet B ou créer un bookmark/masquage</x:v>
      </x:c>
    </x:row>
    <x:row r="169">
      <x:c r="A169" s="24" t="str">
        <x:v>Affaires</x:v>
      </x:c>
      <x:c r="B169" s="24" t="str">
        <x:v>G03_KPI_Row</x:v>
      </x:c>
      <x:c r="C169" s="24" t="str">
        <x:v>KPI_Card_03</x:v>
      </x:c>
      <x:c r="D169" s="24" t="str">
        <x:v>G04_Month_Compare</x:v>
      </x:c>
      <x:c r="E169" s="24" t="str">
        <x:v>Bloc_Comparaison_Mois</x:v>
      </x:c>
      <x:c r="F169" s="25" t="n">
        <x:v>626</x:v>
      </x:c>
      <x:c r="G169" s="25" t="n">
        <x:v>330</x:v>
      </x:c>
      <x:c r="H169" s="25" t="n">
        <x:v>287</x:v>
      </x:c>
      <x:c r="I169" s="25" t="n">
        <x:v>180</x:v>
      </x:c>
      <x:c r="J169" s="25" t="n">
        <x:f>F169+H169</x:f>
        <x:v>913</x:v>
      </x:c>
      <x:c r="K169" s="25" t="n">
        <x:f>G169+I169</x:f>
        <x:v>510</x:v>
      </x:c>
      <x:c r="L169" s="25" t="n">
        <x:v>20</x:v>
      </x:c>
      <x:c r="M169" s="25" t="n">
        <x:v>530</x:v>
      </x:c>
      <x:c r="N169" s="25" t="n">
        <x:v>1500</x:v>
      </x:c>
      <x:c r="O169" s="25" t="n">
        <x:v>230</x:v>
      </x:c>
      <x:c r="P169" s="25" t="n">
        <x:f>L169+N169</x:f>
        <x:v>1520</x:v>
      </x:c>
      <x:c r="Q169" s="25" t="n">
        <x:f>M169+O169</x:f>
        <x:v>760</x:v>
      </x:c>
      <x:c r="R169" s="25" t="n">
        <x:f>MAX(0,MIN(J169,P169)-MAX(F169,L169))</x:f>
        <x:v>287</x:v>
      </x:c>
      <x:c r="S169" s="25" t="n">
        <x:f>MAX(0,MIN(K169,Q169)-MAX(G169,M169))</x:f>
        <x:v>0</x:v>
      </x:c>
      <x:c r="T169" s="25" t="n">
        <x:f>R169*S169</x:f>
        <x:v>0</x:v>
      </x:c>
      <x:c r="U169" s="24" t="str">
        <x:f>IF(T169&gt;0,"ERREUR chevauchement","OK aucun chevauchement")</x:f>
        <x:v>OK aucun chevauchement</x:v>
      </x:c>
      <x:c r="V169" s="24" t="str">
        <x:v>OK aucun chevauchement</x:v>
      </x:c>
      <x:c r="W169" s="24" t="str">
        <x:v>Si ERREUR : déplacer/redimensionner l’objet B ou créer un bookmark/masquage</x:v>
      </x:c>
    </x:row>
    <x:row r="170">
      <x:c r="A170" s="24" t="str">
        <x:v>Affaires</x:v>
      </x:c>
      <x:c r="B170" s="24" t="str">
        <x:v>G03_KPI_Row</x:v>
      </x:c>
      <x:c r="C170" s="24" t="str">
        <x:v>KPI_Card_03</x:v>
      </x:c>
      <x:c r="D170" s="24" t="str">
        <x:v>G05_Budget_Gauges</x:v>
      </x:c>
      <x:c r="E170" s="24" t="str">
        <x:v>Budget_Gauge_Row</x:v>
      </x:c>
      <x:c r="F170" s="25" t="n">
        <x:v>626</x:v>
      </x:c>
      <x:c r="G170" s="25" t="n">
        <x:v>330</x:v>
      </x:c>
      <x:c r="H170" s="25" t="n">
        <x:v>287</x:v>
      </x:c>
      <x:c r="I170" s="25" t="n">
        <x:v>180</x:v>
      </x:c>
      <x:c r="J170" s="25" t="n">
        <x:f>F170+H170</x:f>
        <x:v>913</x:v>
      </x:c>
      <x:c r="K170" s="25" t="n">
        <x:f>G170+I170</x:f>
        <x:v>510</x:v>
      </x:c>
      <x:c r="L170" s="25" t="n">
        <x:v>20</x:v>
      </x:c>
      <x:c r="M170" s="25" t="n">
        <x:v>780</x:v>
      </x:c>
      <x:c r="N170" s="25" t="n">
        <x:v>1500</x:v>
      </x:c>
      <x:c r="O170" s="25" t="n">
        <x:v>132</x:v>
      </x:c>
      <x:c r="P170" s="25" t="n">
        <x:f>L170+N170</x:f>
        <x:v>1520</x:v>
      </x:c>
      <x:c r="Q170" s="25" t="n">
        <x:f>M170+O170</x:f>
        <x:v>912</x:v>
      </x:c>
      <x:c r="R170" s="25" t="n">
        <x:f>MAX(0,MIN(J170,P170)-MAX(F170,L170))</x:f>
        <x:v>287</x:v>
      </x:c>
      <x:c r="S170" s="25" t="n">
        <x:f>MAX(0,MIN(K170,Q170)-MAX(G170,M170))</x:f>
        <x:v>0</x:v>
      </x:c>
      <x:c r="T170" s="25" t="n">
        <x:f>R170*S170</x:f>
        <x:v>0</x:v>
      </x:c>
      <x:c r="U170" s="24" t="str">
        <x:f>IF(T170&gt;0,"ERREUR chevauchement","OK aucun chevauchement")</x:f>
        <x:v>OK aucun chevauchement</x:v>
      </x:c>
      <x:c r="V170" s="24" t="str">
        <x:v>OK aucun chevauchement</x:v>
      </x:c>
      <x:c r="W170" s="24" t="str">
        <x:v>Si ERREUR : déplacer/redimensionner l’objet B ou créer un bookmark/masquage</x:v>
      </x:c>
    </x:row>
    <x:row r="171">
      <x:c r="A171" s="24" t="str">
        <x:v>Affaires</x:v>
      </x:c>
      <x:c r="B171" s="24" t="str">
        <x:v>G03_KPI_Row</x:v>
      </x:c>
      <x:c r="C171" s="24" t="str">
        <x:v>KPI_Card_03</x:v>
      </x:c>
      <x:c r="D171" s="24" t="str">
        <x:v>G06_Charts</x:v>
      </x:c>
      <x:c r="E171" s="24" t="str">
        <x:v>Line_Volume</x:v>
      </x:c>
      <x:c r="F171" s="25" t="n">
        <x:v>626</x:v>
      </x:c>
      <x:c r="G171" s="25" t="n">
        <x:v>330</x:v>
      </x:c>
      <x:c r="H171" s="25" t="n">
        <x:v>287</x:v>
      </x:c>
      <x:c r="I171" s="25" t="n">
        <x:v>180</x:v>
      </x:c>
      <x:c r="J171" s="25" t="n">
        <x:f>F171+H171</x:f>
        <x:v>913</x:v>
      </x:c>
      <x:c r="K171" s="25" t="n">
        <x:f>G171+I171</x:f>
        <x:v>510</x:v>
      </x:c>
      <x:c r="L171" s="25" t="n">
        <x:v>20</x:v>
      </x:c>
      <x:c r="M171" s="25" t="n">
        <x:v>932</x:v>
      </x:c>
      <x:c r="N171" s="25" t="n">
        <x:v>742</x:v>
      </x:c>
      <x:c r="O171" s="25" t="n">
        <x:v>360</x:v>
      </x:c>
      <x:c r="P171" s="25" t="n">
        <x:f>L171+N171</x:f>
        <x:v>762</x:v>
      </x:c>
      <x:c r="Q171" s="25" t="n">
        <x:f>M171+O171</x:f>
        <x:v>1292</x:v>
      </x:c>
      <x:c r="R171" s="25" t="n">
        <x:f>MAX(0,MIN(J171,P171)-MAX(F171,L171))</x:f>
        <x:v>136</x:v>
      </x:c>
      <x:c r="S171" s="25" t="n">
        <x:f>MAX(0,MIN(K171,Q171)-MAX(G171,M171))</x:f>
        <x:v>0</x:v>
      </x:c>
      <x:c r="T171" s="25" t="n">
        <x:f>R171*S171</x:f>
        <x:v>0</x:v>
      </x:c>
      <x:c r="U171" s="24" t="str">
        <x:f>IF(T171&gt;0,"ERREUR chevauchement","OK aucun chevauchement")</x:f>
        <x:v>OK aucun chevauchement</x:v>
      </x:c>
      <x:c r="V171" s="24" t="str">
        <x:v>OK aucun chevauchement</x:v>
      </x:c>
      <x:c r="W171" s="24" t="str">
        <x:v>Si ERREUR : déplacer/redimensionner l’objet B ou créer un bookmark/masquage</x:v>
      </x:c>
    </x:row>
    <x:row r="172">
      <x:c r="A172" s="24" t="str">
        <x:v>Affaires</x:v>
      </x:c>
      <x:c r="B172" s="24" t="str">
        <x:v>G03_KPI_Row</x:v>
      </x:c>
      <x:c r="C172" s="24" t="str">
        <x:v>KPI_Card_03</x:v>
      </x:c>
      <x:c r="D172" s="24" t="str">
        <x:v>G06_Charts</x:v>
      </x:c>
      <x:c r="E172" s="24" t="str">
        <x:v>Bar_Axes_Affaires</x:v>
      </x:c>
      <x:c r="F172" s="25" t="n">
        <x:v>626</x:v>
      </x:c>
      <x:c r="G172" s="25" t="n">
        <x:v>330</x:v>
      </x:c>
      <x:c r="H172" s="25" t="n">
        <x:v>287</x:v>
      </x:c>
      <x:c r="I172" s="25" t="n">
        <x:v>180</x:v>
      </x:c>
      <x:c r="J172" s="25" t="n">
        <x:f>F172+H172</x:f>
        <x:v>913</x:v>
      </x:c>
      <x:c r="K172" s="25" t="n">
        <x:f>G172+I172</x:f>
        <x:v>510</x:v>
      </x:c>
      <x:c r="L172" s="25" t="n">
        <x:v>778</x:v>
      </x:c>
      <x:c r="M172" s="25" t="n">
        <x:v>932</x:v>
      </x:c>
      <x:c r="N172" s="25" t="n">
        <x:v>742</x:v>
      </x:c>
      <x:c r="O172" s="25" t="n">
        <x:v>360</x:v>
      </x:c>
      <x:c r="P172" s="25" t="n">
        <x:f>L172+N172</x:f>
        <x:v>1520</x:v>
      </x:c>
      <x:c r="Q172" s="25" t="n">
        <x:f>M172+O172</x:f>
        <x:v>1292</x:v>
      </x:c>
      <x:c r="R172" s="25" t="n">
        <x:f>MAX(0,MIN(J172,P172)-MAX(F172,L172))</x:f>
        <x:v>135</x:v>
      </x:c>
      <x:c r="S172" s="25" t="n">
        <x:f>MAX(0,MIN(K172,Q172)-MAX(G172,M172))</x:f>
        <x:v>0</x:v>
      </x:c>
      <x:c r="T172" s="25" t="n">
        <x:f>R172*S172</x:f>
        <x:v>0</x:v>
      </x:c>
      <x:c r="U172" s="24" t="str">
        <x:f>IF(T172&gt;0,"ERREUR chevauchement","OK aucun chevauchement")</x:f>
        <x:v>OK aucun chevauchement</x:v>
      </x:c>
      <x:c r="V172" s="24" t="str">
        <x:v>OK aucun chevauchement</x:v>
      </x:c>
      <x:c r="W172" s="24" t="str">
        <x:v>Si ERREUR : déplacer/redimensionner l’objet B ou créer un bookmark/masquage</x:v>
      </x:c>
    </x:row>
    <x:row r="173">
      <x:c r="A173" s="24" t="str">
        <x:v>Affaires</x:v>
      </x:c>
      <x:c r="B173" s="24" t="str">
        <x:v>G03_KPI_Row</x:v>
      </x:c>
      <x:c r="C173" s="24" t="str">
        <x:v>KPI_Card_04</x:v>
      </x:c>
      <x:c r="D173" s="24" t="str">
        <x:v>G03_KPI_Row</x:v>
      </x:c>
      <x:c r="E173" s="24" t="str">
        <x:v>KPI_Card_05</x:v>
      </x:c>
      <x:c r="F173" s="25" t="n">
        <x:v>929</x:v>
      </x:c>
      <x:c r="G173" s="25" t="n">
        <x:v>330</x:v>
      </x:c>
      <x:c r="H173" s="25" t="n">
        <x:v>287</x:v>
      </x:c>
      <x:c r="I173" s="25" t="n">
        <x:v>180</x:v>
      </x:c>
      <x:c r="J173" s="25" t="n">
        <x:f>F173+H173</x:f>
        <x:v>1216</x:v>
      </x:c>
      <x:c r="K173" s="25" t="n">
        <x:f>G173+I173</x:f>
        <x:v>510</x:v>
      </x:c>
      <x:c r="L173" s="25" t="n">
        <x:v>1232</x:v>
      </x:c>
      <x:c r="M173" s="25" t="n">
        <x:v>330</x:v>
      </x:c>
      <x:c r="N173" s="25" t="n">
        <x:v>287</x:v>
      </x:c>
      <x:c r="O173" s="25" t="n">
        <x:v>180</x:v>
      </x:c>
      <x:c r="P173" s="25" t="n">
        <x:f>L173+N173</x:f>
        <x:v>1519</x:v>
      </x:c>
      <x:c r="Q173" s="25" t="n">
        <x:f>M173+O173</x:f>
        <x:v>510</x:v>
      </x:c>
      <x:c r="R173" s="25" t="n">
        <x:f>MAX(0,MIN(J173,P173)-MAX(F173,L173))</x:f>
        <x:v>0</x:v>
      </x:c>
      <x:c r="S173" s="25" t="n">
        <x:f>MAX(0,MIN(K173,Q173)-MAX(G173,M173))</x:f>
        <x:v>180</x:v>
      </x:c>
      <x:c r="T173" s="25" t="n">
        <x:f>R173*S173</x:f>
        <x:v>0</x:v>
      </x:c>
      <x:c r="U173" s="24" t="str">
        <x:f>IF(T173&gt;0,"ERREUR chevauchement","OK aucun chevauchement")</x:f>
        <x:v>OK aucun chevauchement</x:v>
      </x:c>
      <x:c r="V173" s="24" t="str">
        <x:v>OK aucun chevauchement</x:v>
      </x:c>
      <x:c r="W173" s="24" t="str">
        <x:v>Si ERREUR : déplacer/redimensionner l’objet B ou créer un bookmark/masquage</x:v>
      </x:c>
    </x:row>
    <x:row r="174">
      <x:c r="A174" s="24" t="str">
        <x:v>Affaires</x:v>
      </x:c>
      <x:c r="B174" s="24" t="str">
        <x:v>G03_KPI_Row</x:v>
      </x:c>
      <x:c r="C174" s="24" t="str">
        <x:v>KPI_Card_04</x:v>
      </x:c>
      <x:c r="D174" s="24" t="str">
        <x:v>G04_Month_Compare</x:v>
      </x:c>
      <x:c r="E174" s="24" t="str">
        <x:v>Bloc_Comparaison_Mois</x:v>
      </x:c>
      <x:c r="F174" s="25" t="n">
        <x:v>929</x:v>
      </x:c>
      <x:c r="G174" s="25" t="n">
        <x:v>330</x:v>
      </x:c>
      <x:c r="H174" s="25" t="n">
        <x:v>287</x:v>
      </x:c>
      <x:c r="I174" s="25" t="n">
        <x:v>180</x:v>
      </x:c>
      <x:c r="J174" s="25" t="n">
        <x:f>F174+H174</x:f>
        <x:v>1216</x:v>
      </x:c>
      <x:c r="K174" s="25" t="n">
        <x:f>G174+I174</x:f>
        <x:v>510</x:v>
      </x:c>
      <x:c r="L174" s="25" t="n">
        <x:v>20</x:v>
      </x:c>
      <x:c r="M174" s="25" t="n">
        <x:v>530</x:v>
      </x:c>
      <x:c r="N174" s="25" t="n">
        <x:v>1500</x:v>
      </x:c>
      <x:c r="O174" s="25" t="n">
        <x:v>230</x:v>
      </x:c>
      <x:c r="P174" s="25" t="n">
        <x:f>L174+N174</x:f>
        <x:v>1520</x:v>
      </x:c>
      <x:c r="Q174" s="25" t="n">
        <x:f>M174+O174</x:f>
        <x:v>760</x:v>
      </x:c>
      <x:c r="R174" s="25" t="n">
        <x:f>MAX(0,MIN(J174,P174)-MAX(F174,L174))</x:f>
        <x:v>287</x:v>
      </x:c>
      <x:c r="S174" s="25" t="n">
        <x:f>MAX(0,MIN(K174,Q174)-MAX(G174,M174))</x:f>
        <x:v>0</x:v>
      </x:c>
      <x:c r="T174" s="25" t="n">
        <x:f>R174*S174</x:f>
        <x:v>0</x:v>
      </x:c>
      <x:c r="U174" s="24" t="str">
        <x:f>IF(T174&gt;0,"ERREUR chevauchement","OK aucun chevauchement")</x:f>
        <x:v>OK aucun chevauchement</x:v>
      </x:c>
      <x:c r="V174" s="24" t="str">
        <x:v>OK aucun chevauchement</x:v>
      </x:c>
      <x:c r="W174" s="24" t="str">
        <x:v>Si ERREUR : déplacer/redimensionner l’objet B ou créer un bookmark/masquage</x:v>
      </x:c>
    </x:row>
    <x:row r="175">
      <x:c r="A175" s="24" t="str">
        <x:v>Affaires</x:v>
      </x:c>
      <x:c r="B175" s="24" t="str">
        <x:v>G03_KPI_Row</x:v>
      </x:c>
      <x:c r="C175" s="24" t="str">
        <x:v>KPI_Card_04</x:v>
      </x:c>
      <x:c r="D175" s="24" t="str">
        <x:v>G05_Budget_Gauges</x:v>
      </x:c>
      <x:c r="E175" s="24" t="str">
        <x:v>Budget_Gauge_Row</x:v>
      </x:c>
      <x:c r="F175" s="25" t="n">
        <x:v>929</x:v>
      </x:c>
      <x:c r="G175" s="25" t="n">
        <x:v>330</x:v>
      </x:c>
      <x:c r="H175" s="25" t="n">
        <x:v>287</x:v>
      </x:c>
      <x:c r="I175" s="25" t="n">
        <x:v>180</x:v>
      </x:c>
      <x:c r="J175" s="25" t="n">
        <x:f>F175+H175</x:f>
        <x:v>1216</x:v>
      </x:c>
      <x:c r="K175" s="25" t="n">
        <x:f>G175+I175</x:f>
        <x:v>510</x:v>
      </x:c>
      <x:c r="L175" s="25" t="n">
        <x:v>20</x:v>
      </x:c>
      <x:c r="M175" s="25" t="n">
        <x:v>780</x:v>
      </x:c>
      <x:c r="N175" s="25" t="n">
        <x:v>1500</x:v>
      </x:c>
      <x:c r="O175" s="25" t="n">
        <x:v>132</x:v>
      </x:c>
      <x:c r="P175" s="25" t="n">
        <x:f>L175+N175</x:f>
        <x:v>1520</x:v>
      </x:c>
      <x:c r="Q175" s="25" t="n">
        <x:f>M175+O175</x:f>
        <x:v>912</x:v>
      </x:c>
      <x:c r="R175" s="25" t="n">
        <x:f>MAX(0,MIN(J175,P175)-MAX(F175,L175))</x:f>
        <x:v>287</x:v>
      </x:c>
      <x:c r="S175" s="25" t="n">
        <x:f>MAX(0,MIN(K175,Q175)-MAX(G175,M175))</x:f>
        <x:v>0</x:v>
      </x:c>
      <x:c r="T175" s="25" t="n">
        <x:f>R175*S175</x:f>
        <x:v>0</x:v>
      </x:c>
      <x:c r="U175" s="24" t="str">
        <x:f>IF(T175&gt;0,"ERREUR chevauchement","OK aucun chevauchement")</x:f>
        <x:v>OK aucun chevauchement</x:v>
      </x:c>
      <x:c r="V175" s="24" t="str">
        <x:v>OK aucun chevauchement</x:v>
      </x:c>
      <x:c r="W175" s="24" t="str">
        <x:v>Si ERREUR : déplacer/redimensionner l’objet B ou créer un bookmark/masquage</x:v>
      </x:c>
    </x:row>
    <x:row r="176">
      <x:c r="A176" s="24" t="str">
        <x:v>Affaires</x:v>
      </x:c>
      <x:c r="B176" s="24" t="str">
        <x:v>G03_KPI_Row</x:v>
      </x:c>
      <x:c r="C176" s="24" t="str">
        <x:v>KPI_Card_04</x:v>
      </x:c>
      <x:c r="D176" s="24" t="str">
        <x:v>G06_Charts</x:v>
      </x:c>
      <x:c r="E176" s="24" t="str">
        <x:v>Line_Volume</x:v>
      </x:c>
      <x:c r="F176" s="25" t="n">
        <x:v>929</x:v>
      </x:c>
      <x:c r="G176" s="25" t="n">
        <x:v>330</x:v>
      </x:c>
      <x:c r="H176" s="25" t="n">
        <x:v>287</x:v>
      </x:c>
      <x:c r="I176" s="25" t="n">
        <x:v>180</x:v>
      </x:c>
      <x:c r="J176" s="25" t="n">
        <x:f>F176+H176</x:f>
        <x:v>1216</x:v>
      </x:c>
      <x:c r="K176" s="25" t="n">
        <x:f>G176+I176</x:f>
        <x:v>510</x:v>
      </x:c>
      <x:c r="L176" s="25" t="n">
        <x:v>20</x:v>
      </x:c>
      <x:c r="M176" s="25" t="n">
        <x:v>932</x:v>
      </x:c>
      <x:c r="N176" s="25" t="n">
        <x:v>742</x:v>
      </x:c>
      <x:c r="O176" s="25" t="n">
        <x:v>360</x:v>
      </x:c>
      <x:c r="P176" s="25" t="n">
        <x:f>L176+N176</x:f>
        <x:v>762</x:v>
      </x:c>
      <x:c r="Q176" s="25" t="n">
        <x:f>M176+O176</x:f>
        <x:v>1292</x:v>
      </x:c>
      <x:c r="R176" s="25" t="n">
        <x:f>MAX(0,MIN(J176,P176)-MAX(F176,L176))</x:f>
        <x:v>0</x:v>
      </x:c>
      <x:c r="S176" s="25" t="n">
        <x:f>MAX(0,MIN(K176,Q176)-MAX(G176,M176))</x:f>
        <x:v>0</x:v>
      </x:c>
      <x:c r="T176" s="25" t="n">
        <x:f>R176*S176</x:f>
        <x:v>0</x:v>
      </x:c>
      <x:c r="U176" s="24" t="str">
        <x:f>IF(T176&gt;0,"ERREUR chevauchement","OK aucun chevauchement")</x:f>
        <x:v>OK aucun chevauchement</x:v>
      </x:c>
      <x:c r="V176" s="24" t="str">
        <x:v>OK aucun chevauchement</x:v>
      </x:c>
      <x:c r="W176" s="24" t="str">
        <x:v>Si ERREUR : déplacer/redimensionner l’objet B ou créer un bookmark/masquage</x:v>
      </x:c>
    </x:row>
    <x:row r="177">
      <x:c r="A177" s="24" t="str">
        <x:v>Affaires</x:v>
      </x:c>
      <x:c r="B177" s="24" t="str">
        <x:v>G03_KPI_Row</x:v>
      </x:c>
      <x:c r="C177" s="24" t="str">
        <x:v>KPI_Card_04</x:v>
      </x:c>
      <x:c r="D177" s="24" t="str">
        <x:v>G06_Charts</x:v>
      </x:c>
      <x:c r="E177" s="24" t="str">
        <x:v>Bar_Axes_Affaires</x:v>
      </x:c>
      <x:c r="F177" s="25" t="n">
        <x:v>929</x:v>
      </x:c>
      <x:c r="G177" s="25" t="n">
        <x:v>330</x:v>
      </x:c>
      <x:c r="H177" s="25" t="n">
        <x:v>287</x:v>
      </x:c>
      <x:c r="I177" s="25" t="n">
        <x:v>180</x:v>
      </x:c>
      <x:c r="J177" s="25" t="n">
        <x:f>F177+H177</x:f>
        <x:v>1216</x:v>
      </x:c>
      <x:c r="K177" s="25" t="n">
        <x:f>G177+I177</x:f>
        <x:v>510</x:v>
      </x:c>
      <x:c r="L177" s="25" t="n">
        <x:v>778</x:v>
      </x:c>
      <x:c r="M177" s="25" t="n">
        <x:v>932</x:v>
      </x:c>
      <x:c r="N177" s="25" t="n">
        <x:v>742</x:v>
      </x:c>
      <x:c r="O177" s="25" t="n">
        <x:v>360</x:v>
      </x:c>
      <x:c r="P177" s="25" t="n">
        <x:f>L177+N177</x:f>
        <x:v>1520</x:v>
      </x:c>
      <x:c r="Q177" s="25" t="n">
        <x:f>M177+O177</x:f>
        <x:v>1292</x:v>
      </x:c>
      <x:c r="R177" s="25" t="n">
        <x:f>MAX(0,MIN(J177,P177)-MAX(F177,L177))</x:f>
        <x:v>287</x:v>
      </x:c>
      <x:c r="S177" s="25" t="n">
        <x:f>MAX(0,MIN(K177,Q177)-MAX(G177,M177))</x:f>
        <x:v>0</x:v>
      </x:c>
      <x:c r="T177" s="25" t="n">
        <x:f>R177*S177</x:f>
        <x:v>0</x:v>
      </x:c>
      <x:c r="U177" s="24" t="str">
        <x:f>IF(T177&gt;0,"ERREUR chevauchement","OK aucun chevauchement")</x:f>
        <x:v>OK aucun chevauchement</x:v>
      </x:c>
      <x:c r="V177" s="24" t="str">
        <x:v>OK aucun chevauchement</x:v>
      </x:c>
      <x:c r="W177" s="24" t="str">
        <x:v>Si ERREUR : déplacer/redimensionner l’objet B ou créer un bookmark/masquage</x:v>
      </x:c>
    </x:row>
    <x:row r="178">
      <x:c r="A178" s="24" t="str">
        <x:v>Affaires</x:v>
      </x:c>
      <x:c r="B178" s="24" t="str">
        <x:v>G03_KPI_Row</x:v>
      </x:c>
      <x:c r="C178" s="24" t="str">
        <x:v>KPI_Card_05</x:v>
      </x:c>
      <x:c r="D178" s="24" t="str">
        <x:v>G04_Month_Compare</x:v>
      </x:c>
      <x:c r="E178" s="24" t="str">
        <x:v>Bloc_Comparaison_Mois</x:v>
      </x:c>
      <x:c r="F178" s="25" t="n">
        <x:v>1232</x:v>
      </x:c>
      <x:c r="G178" s="25" t="n">
        <x:v>330</x:v>
      </x:c>
      <x:c r="H178" s="25" t="n">
        <x:v>287</x:v>
      </x:c>
      <x:c r="I178" s="25" t="n">
        <x:v>180</x:v>
      </x:c>
      <x:c r="J178" s="25" t="n">
        <x:f>F178+H178</x:f>
        <x:v>1519</x:v>
      </x:c>
      <x:c r="K178" s="25" t="n">
        <x:f>G178+I178</x:f>
        <x:v>510</x:v>
      </x:c>
      <x:c r="L178" s="25" t="n">
        <x:v>20</x:v>
      </x:c>
      <x:c r="M178" s="25" t="n">
        <x:v>530</x:v>
      </x:c>
      <x:c r="N178" s="25" t="n">
        <x:v>1500</x:v>
      </x:c>
      <x:c r="O178" s="25" t="n">
        <x:v>230</x:v>
      </x:c>
      <x:c r="P178" s="25" t="n">
        <x:f>L178+N178</x:f>
        <x:v>1520</x:v>
      </x:c>
      <x:c r="Q178" s="25" t="n">
        <x:f>M178+O178</x:f>
        <x:v>760</x:v>
      </x:c>
      <x:c r="R178" s="25" t="n">
        <x:f>MAX(0,MIN(J178,P178)-MAX(F178,L178))</x:f>
        <x:v>287</x:v>
      </x:c>
      <x:c r="S178" s="25" t="n">
        <x:f>MAX(0,MIN(K178,Q178)-MAX(G178,M178))</x:f>
        <x:v>0</x:v>
      </x:c>
      <x:c r="T178" s="25" t="n">
        <x:f>R178*S178</x:f>
        <x:v>0</x:v>
      </x:c>
      <x:c r="U178" s="24" t="str">
        <x:f>IF(T178&gt;0,"ERREUR chevauchement","OK aucun chevauchement")</x:f>
        <x:v>OK aucun chevauchement</x:v>
      </x:c>
      <x:c r="V178" s="24" t="str">
        <x:v>OK aucun chevauchement</x:v>
      </x:c>
      <x:c r="W178" s="24" t="str">
        <x:v>Si ERREUR : déplacer/redimensionner l’objet B ou créer un bookmark/masquage</x:v>
      </x:c>
    </x:row>
    <x:row r="179">
      <x:c r="A179" s="24" t="str">
        <x:v>Affaires</x:v>
      </x:c>
      <x:c r="B179" s="24" t="str">
        <x:v>G03_KPI_Row</x:v>
      </x:c>
      <x:c r="C179" s="24" t="str">
        <x:v>KPI_Card_05</x:v>
      </x:c>
      <x:c r="D179" s="24" t="str">
        <x:v>G05_Budget_Gauges</x:v>
      </x:c>
      <x:c r="E179" s="24" t="str">
        <x:v>Budget_Gauge_Row</x:v>
      </x:c>
      <x:c r="F179" s="25" t="n">
        <x:v>1232</x:v>
      </x:c>
      <x:c r="G179" s="25" t="n">
        <x:v>330</x:v>
      </x:c>
      <x:c r="H179" s="25" t="n">
        <x:v>287</x:v>
      </x:c>
      <x:c r="I179" s="25" t="n">
        <x:v>180</x:v>
      </x:c>
      <x:c r="J179" s="25" t="n">
        <x:f>F179+H179</x:f>
        <x:v>1519</x:v>
      </x:c>
      <x:c r="K179" s="25" t="n">
        <x:f>G179+I179</x:f>
        <x:v>510</x:v>
      </x:c>
      <x:c r="L179" s="25" t="n">
        <x:v>20</x:v>
      </x:c>
      <x:c r="M179" s="25" t="n">
        <x:v>780</x:v>
      </x:c>
      <x:c r="N179" s="25" t="n">
        <x:v>1500</x:v>
      </x:c>
      <x:c r="O179" s="25" t="n">
        <x:v>132</x:v>
      </x:c>
      <x:c r="P179" s="25" t="n">
        <x:f>L179+N179</x:f>
        <x:v>1520</x:v>
      </x:c>
      <x:c r="Q179" s="25" t="n">
        <x:f>M179+O179</x:f>
        <x:v>912</x:v>
      </x:c>
      <x:c r="R179" s="25" t="n">
        <x:f>MAX(0,MIN(J179,P179)-MAX(F179,L179))</x:f>
        <x:v>287</x:v>
      </x:c>
      <x:c r="S179" s="25" t="n">
        <x:f>MAX(0,MIN(K179,Q179)-MAX(G179,M179))</x:f>
        <x:v>0</x:v>
      </x:c>
      <x:c r="T179" s="25" t="n">
        <x:f>R179*S179</x:f>
        <x:v>0</x:v>
      </x:c>
      <x:c r="U179" s="24" t="str">
        <x:f>IF(T179&gt;0,"ERREUR chevauchement","OK aucun chevauchement")</x:f>
        <x:v>OK aucun chevauchement</x:v>
      </x:c>
      <x:c r="V179" s="24" t="str">
        <x:v>OK aucun chevauchement</x:v>
      </x:c>
      <x:c r="W179" s="24" t="str">
        <x:v>Si ERREUR : déplacer/redimensionner l’objet B ou créer un bookmark/masquage</x:v>
      </x:c>
    </x:row>
    <x:row r="180">
      <x:c r="A180" s="24" t="str">
        <x:v>Affaires</x:v>
      </x:c>
      <x:c r="B180" s="24" t="str">
        <x:v>G03_KPI_Row</x:v>
      </x:c>
      <x:c r="C180" s="24" t="str">
        <x:v>KPI_Card_05</x:v>
      </x:c>
      <x:c r="D180" s="24" t="str">
        <x:v>G06_Charts</x:v>
      </x:c>
      <x:c r="E180" s="24" t="str">
        <x:v>Line_Volume</x:v>
      </x:c>
      <x:c r="F180" s="25" t="n">
        <x:v>1232</x:v>
      </x:c>
      <x:c r="G180" s="25" t="n">
        <x:v>330</x:v>
      </x:c>
      <x:c r="H180" s="25" t="n">
        <x:v>287</x:v>
      </x:c>
      <x:c r="I180" s="25" t="n">
        <x:v>180</x:v>
      </x:c>
      <x:c r="J180" s="25" t="n">
        <x:f>F180+H180</x:f>
        <x:v>1519</x:v>
      </x:c>
      <x:c r="K180" s="25" t="n">
        <x:f>G180+I180</x:f>
        <x:v>510</x:v>
      </x:c>
      <x:c r="L180" s="25" t="n">
        <x:v>20</x:v>
      </x:c>
      <x:c r="M180" s="25" t="n">
        <x:v>932</x:v>
      </x:c>
      <x:c r="N180" s="25" t="n">
        <x:v>742</x:v>
      </x:c>
      <x:c r="O180" s="25" t="n">
        <x:v>360</x:v>
      </x:c>
      <x:c r="P180" s="25" t="n">
        <x:f>L180+N180</x:f>
        <x:v>762</x:v>
      </x:c>
      <x:c r="Q180" s="25" t="n">
        <x:f>M180+O180</x:f>
        <x:v>1292</x:v>
      </x:c>
      <x:c r="R180" s="25" t="n">
        <x:f>MAX(0,MIN(J180,P180)-MAX(F180,L180))</x:f>
        <x:v>0</x:v>
      </x:c>
      <x:c r="S180" s="25" t="n">
        <x:f>MAX(0,MIN(K180,Q180)-MAX(G180,M180))</x:f>
        <x:v>0</x:v>
      </x:c>
      <x:c r="T180" s="25" t="n">
        <x:f>R180*S180</x:f>
        <x:v>0</x:v>
      </x:c>
      <x:c r="U180" s="24" t="str">
        <x:f>IF(T180&gt;0,"ERREUR chevauchement","OK aucun chevauchement")</x:f>
        <x:v>OK aucun chevauchement</x:v>
      </x:c>
      <x:c r="V180" s="24" t="str">
        <x:v>OK aucun chevauchement</x:v>
      </x:c>
      <x:c r="W180" s="24" t="str">
        <x:v>Si ERREUR : déplacer/redimensionner l’objet B ou créer un bookmark/masquage</x:v>
      </x:c>
    </x:row>
    <x:row r="181">
      <x:c r="A181" s="24" t="str">
        <x:v>Affaires</x:v>
      </x:c>
      <x:c r="B181" s="24" t="str">
        <x:v>G03_KPI_Row</x:v>
      </x:c>
      <x:c r="C181" s="24" t="str">
        <x:v>KPI_Card_05</x:v>
      </x:c>
      <x:c r="D181" s="24" t="str">
        <x:v>G06_Charts</x:v>
      </x:c>
      <x:c r="E181" s="24" t="str">
        <x:v>Bar_Axes_Affaires</x:v>
      </x:c>
      <x:c r="F181" s="25" t="n">
        <x:v>1232</x:v>
      </x:c>
      <x:c r="G181" s="25" t="n">
        <x:v>330</x:v>
      </x:c>
      <x:c r="H181" s="25" t="n">
        <x:v>287</x:v>
      </x:c>
      <x:c r="I181" s="25" t="n">
        <x:v>180</x:v>
      </x:c>
      <x:c r="J181" s="25" t="n">
        <x:f>F181+H181</x:f>
        <x:v>1519</x:v>
      </x:c>
      <x:c r="K181" s="25" t="n">
        <x:f>G181+I181</x:f>
        <x:v>510</x:v>
      </x:c>
      <x:c r="L181" s="25" t="n">
        <x:v>778</x:v>
      </x:c>
      <x:c r="M181" s="25" t="n">
        <x:v>932</x:v>
      </x:c>
      <x:c r="N181" s="25" t="n">
        <x:v>742</x:v>
      </x:c>
      <x:c r="O181" s="25" t="n">
        <x:v>360</x:v>
      </x:c>
      <x:c r="P181" s="25" t="n">
        <x:f>L181+N181</x:f>
        <x:v>1520</x:v>
      </x:c>
      <x:c r="Q181" s="25" t="n">
        <x:f>M181+O181</x:f>
        <x:v>1292</x:v>
      </x:c>
      <x:c r="R181" s="25" t="n">
        <x:f>MAX(0,MIN(J181,P181)-MAX(F181,L181))</x:f>
        <x:v>287</x:v>
      </x:c>
      <x:c r="S181" s="25" t="n">
        <x:f>MAX(0,MIN(K181,Q181)-MAX(G181,M181))</x:f>
        <x:v>0</x:v>
      </x:c>
      <x:c r="T181" s="25" t="n">
        <x:f>R181*S181</x:f>
        <x:v>0</x:v>
      </x:c>
      <x:c r="U181" s="24" t="str">
        <x:f>IF(T181&gt;0,"ERREUR chevauchement","OK aucun chevauchement")</x:f>
        <x:v>OK aucun chevauchement</x:v>
      </x:c>
      <x:c r="V181" s="24" t="str">
        <x:v>OK aucun chevauchement</x:v>
      </x:c>
      <x:c r="W181" s="24" t="str">
        <x:v>Si ERREUR : déplacer/redimensionner l’objet B ou créer un bookmark/masquage</x:v>
      </x:c>
    </x:row>
    <x:row r="182">
      <x:c r="A182" s="24" t="str">
        <x:v>Réseau MIA</x:v>
      </x:c>
      <x:c r="B182" s="24" t="str">
        <x:v>G00_Header_Global</x:v>
      </x:c>
      <x:c r="C182" s="24" t="str">
        <x:v>Header_Global</x:v>
      </x:c>
      <x:c r="D182" s="24" t="str">
        <x:v>G01_Title_Zone</x:v>
      </x:c>
      <x:c r="E182" s="24" t="str">
        <x:v>Title_Zone</x:v>
      </x:c>
      <x:c r="F182" s="25" t="n">
        <x:v>0</x:v>
      </x:c>
      <x:c r="G182" s="25" t="n">
        <x:v>0</x:v>
      </x:c>
      <x:c r="H182" s="25" t="n">
        <x:v>1540</x:v>
      </x:c>
      <x:c r="I182" s="25" t="n">
        <x:v>88</x:v>
      </x:c>
      <x:c r="J182" s="25" t="n">
        <x:f>F182+H182</x:f>
        <x:v>1540</x:v>
      </x:c>
      <x:c r="K182" s="25" t="n">
        <x:f>G182+I182</x:f>
        <x:v>88</x:v>
      </x:c>
      <x:c r="L182" s="25" t="n">
        <x:v>20</x:v>
      </x:c>
      <x:c r="M182" s="25" t="n">
        <x:v>110</x:v>
      </x:c>
      <x:c r="N182" s="25" t="n">
        <x:v>1500</x:v>
      </x:c>
      <x:c r="O182" s="25" t="n">
        <x:v>132</x:v>
      </x:c>
      <x:c r="P182" s="25" t="n">
        <x:f>L182+N182</x:f>
        <x:v>1520</x:v>
      </x:c>
      <x:c r="Q182" s="25" t="n">
        <x:f>M182+O182</x:f>
        <x:v>242</x:v>
      </x:c>
      <x:c r="R182" s="25" t="n">
        <x:f>MAX(0,MIN(J182,P182)-MAX(F182,L182))</x:f>
        <x:v>1500</x:v>
      </x:c>
      <x:c r="S182" s="25" t="n">
        <x:f>MAX(0,MIN(K182,Q182)-MAX(G182,M182))</x:f>
        <x:v>0</x:v>
      </x:c>
      <x:c r="T182" s="25" t="n">
        <x:f>R182*S182</x:f>
        <x:v>0</x:v>
      </x:c>
      <x:c r="U182" s="24" t="str">
        <x:f>IF(T182&gt;0,"ERREUR chevauchement","OK aucun chevauchement")</x:f>
        <x:v>OK aucun chevauchement</x:v>
      </x:c>
      <x:c r="V182" s="24" t="str">
        <x:v>OK aucun chevauchement</x:v>
      </x:c>
      <x:c r="W182" s="24" t="str">
        <x:v>Si ERREUR : déplacer/redimensionner l’objet B ou créer un bookmark/masquage</x:v>
      </x:c>
    </x:row>
    <x:row r="183">
      <x:c r="A183" s="24" t="str">
        <x:v>Réseau MIA</x:v>
      </x:c>
      <x:c r="B183" s="24" t="str">
        <x:v>G00_Header_Global</x:v>
      </x:c>
      <x:c r="C183" s="24" t="str">
        <x:v>Header_Global</x:v>
      </x:c>
      <x:c r="D183" s="24" t="str">
        <x:v>G02_Toolbar</x:v>
      </x:c>
      <x:c r="E183" s="24" t="str">
        <x:v>Toolbar_Slicers_FieldParams</x:v>
      </x:c>
      <x:c r="F183" s="25" t="n">
        <x:v>0</x:v>
      </x:c>
      <x:c r="G183" s="25" t="n">
        <x:v>0</x:v>
      </x:c>
      <x:c r="H183" s="25" t="n">
        <x:v>1540</x:v>
      </x:c>
      <x:c r="I183" s="25" t="n">
        <x:v>88</x:v>
      </x:c>
      <x:c r="J183" s="25" t="n">
        <x:f>F183+H183</x:f>
        <x:v>1540</x:v>
      </x:c>
      <x:c r="K183" s="25" t="n">
        <x:f>G183+I183</x:f>
        <x:v>88</x:v>
      </x:c>
      <x:c r="L183" s="25" t="n">
        <x:v>20</x:v>
      </x:c>
      <x:c r="M183" s="25" t="n">
        <x:v>260</x:v>
      </x:c>
      <x:c r="N183" s="25" t="n">
        <x:v>1500</x:v>
      </x:c>
      <x:c r="O183" s="25" t="n">
        <x:v>56</x:v>
      </x:c>
      <x:c r="P183" s="25" t="n">
        <x:f>L183+N183</x:f>
        <x:v>1520</x:v>
      </x:c>
      <x:c r="Q183" s="25" t="n">
        <x:f>M183+O183</x:f>
        <x:v>316</x:v>
      </x:c>
      <x:c r="R183" s="25" t="n">
        <x:f>MAX(0,MIN(J183,P183)-MAX(F183,L183))</x:f>
        <x:v>1500</x:v>
      </x:c>
      <x:c r="S183" s="25" t="n">
        <x:f>MAX(0,MIN(K183,Q183)-MAX(G183,M183))</x:f>
        <x:v>0</x:v>
      </x:c>
      <x:c r="T183" s="25" t="n">
        <x:f>R183*S183</x:f>
        <x:v>0</x:v>
      </x:c>
      <x:c r="U183" s="24" t="str">
        <x:f>IF(T183&gt;0,"ERREUR chevauchement","OK aucun chevauchement")</x:f>
        <x:v>OK aucun chevauchement</x:v>
      </x:c>
      <x:c r="V183" s="24" t="str">
        <x:v>OK aucun chevauchement</x:v>
      </x:c>
      <x:c r="W183" s="24" t="str">
        <x:v>Si ERREUR : déplacer/redimensionner l’objet B ou créer un bookmark/masquage</x:v>
      </x:c>
    </x:row>
    <x:row r="184">
      <x:c r="A184" s="24" t="str">
        <x:v>Réseau MIA</x:v>
      </x:c>
      <x:c r="B184" s="24" t="str">
        <x:v>G00_Header_Global</x:v>
      </x:c>
      <x:c r="C184" s="24" t="str">
        <x:v>Header_Global</x:v>
      </x:c>
      <x:c r="D184" s="24" t="str">
        <x:v>G03_KPI_Row</x:v>
      </x:c>
      <x:c r="E184" s="24" t="str">
        <x:v>KPI_Card_01</x:v>
      </x:c>
      <x:c r="F184" s="25" t="n">
        <x:v>0</x:v>
      </x:c>
      <x:c r="G184" s="25" t="n">
        <x:v>0</x:v>
      </x:c>
      <x:c r="H184" s="25" t="n">
        <x:v>1540</x:v>
      </x:c>
      <x:c r="I184" s="25" t="n">
        <x:v>88</x:v>
      </x:c>
      <x:c r="J184" s="25" t="n">
        <x:f>F184+H184</x:f>
        <x:v>1540</x:v>
      </x:c>
      <x:c r="K184" s="25" t="n">
        <x:f>G184+I184</x:f>
        <x:v>88</x:v>
      </x:c>
      <x:c r="L184" s="25" t="n">
        <x:v>20</x:v>
      </x:c>
      <x:c r="M184" s="25" t="n">
        <x:v>330</x:v>
      </x:c>
      <x:c r="N184" s="25" t="n">
        <x:v>287</x:v>
      </x:c>
      <x:c r="O184" s="25" t="n">
        <x:v>180</x:v>
      </x:c>
      <x:c r="P184" s="25" t="n">
        <x:f>L184+N184</x:f>
        <x:v>307</x:v>
      </x:c>
      <x:c r="Q184" s="25" t="n">
        <x:f>M184+O184</x:f>
        <x:v>510</x:v>
      </x:c>
      <x:c r="R184" s="25" t="n">
        <x:f>MAX(0,MIN(J184,P184)-MAX(F184,L184))</x:f>
        <x:v>287</x:v>
      </x:c>
      <x:c r="S184" s="25" t="n">
        <x:f>MAX(0,MIN(K184,Q184)-MAX(G184,M184))</x:f>
        <x:v>0</x:v>
      </x:c>
      <x:c r="T184" s="25" t="n">
        <x:f>R184*S184</x:f>
        <x:v>0</x:v>
      </x:c>
      <x:c r="U184" s="24" t="str">
        <x:f>IF(T184&gt;0,"ERREUR chevauchement","OK aucun chevauchement")</x:f>
        <x:v>OK aucun chevauchement</x:v>
      </x:c>
      <x:c r="V184" s="24" t="str">
        <x:v>OK aucun chevauchement</x:v>
      </x:c>
      <x:c r="W184" s="24" t="str">
        <x:v>Si ERREUR : déplacer/redimensionner l’objet B ou créer un bookmark/masquage</x:v>
      </x:c>
    </x:row>
    <x:row r="185">
      <x:c r="A185" s="24" t="str">
        <x:v>Réseau MIA</x:v>
      </x:c>
      <x:c r="B185" s="24" t="str">
        <x:v>G00_Header_Global</x:v>
      </x:c>
      <x:c r="C185" s="24" t="str">
        <x:v>Header_Global</x:v>
      </x:c>
      <x:c r="D185" s="24" t="str">
        <x:v>G03_KPI_Row</x:v>
      </x:c>
      <x:c r="E185" s="24" t="str">
        <x:v>KPI_Card_02</x:v>
      </x:c>
      <x:c r="F185" s="25" t="n">
        <x:v>0</x:v>
      </x:c>
      <x:c r="G185" s="25" t="n">
        <x:v>0</x:v>
      </x:c>
      <x:c r="H185" s="25" t="n">
        <x:v>1540</x:v>
      </x:c>
      <x:c r="I185" s="25" t="n">
        <x:v>88</x:v>
      </x:c>
      <x:c r="J185" s="25" t="n">
        <x:f>F185+H185</x:f>
        <x:v>1540</x:v>
      </x:c>
      <x:c r="K185" s="25" t="n">
        <x:f>G185+I185</x:f>
        <x:v>88</x:v>
      </x:c>
      <x:c r="L185" s="25" t="n">
        <x:v>323</x:v>
      </x:c>
      <x:c r="M185" s="25" t="n">
        <x:v>330</x:v>
      </x:c>
      <x:c r="N185" s="25" t="n">
        <x:v>287</x:v>
      </x:c>
      <x:c r="O185" s="25" t="n">
        <x:v>180</x:v>
      </x:c>
      <x:c r="P185" s="25" t="n">
        <x:f>L185+N185</x:f>
        <x:v>610</x:v>
      </x:c>
      <x:c r="Q185" s="25" t="n">
        <x:f>M185+O185</x:f>
        <x:v>510</x:v>
      </x:c>
      <x:c r="R185" s="25" t="n">
        <x:f>MAX(0,MIN(J185,P185)-MAX(F185,L185))</x:f>
        <x:v>287</x:v>
      </x:c>
      <x:c r="S185" s="25" t="n">
        <x:f>MAX(0,MIN(K185,Q185)-MAX(G185,M185))</x:f>
        <x:v>0</x:v>
      </x:c>
      <x:c r="T185" s="25" t="n">
        <x:f>R185*S185</x:f>
        <x:v>0</x:v>
      </x:c>
      <x:c r="U185" s="24" t="str">
        <x:f>IF(T185&gt;0,"ERREUR chevauchement","OK aucun chevauchement")</x:f>
        <x:v>OK aucun chevauchement</x:v>
      </x:c>
      <x:c r="V185" s="24" t="str">
        <x:v>OK aucun chevauchement</x:v>
      </x:c>
      <x:c r="W185" s="24" t="str">
        <x:v>Si ERREUR : déplacer/redimensionner l’objet B ou créer un bookmark/masquage</x:v>
      </x:c>
    </x:row>
    <x:row r="186">
      <x:c r="A186" s="24" t="str">
        <x:v>Réseau MIA</x:v>
      </x:c>
      <x:c r="B186" s="24" t="str">
        <x:v>G00_Header_Global</x:v>
      </x:c>
      <x:c r="C186" s="24" t="str">
        <x:v>Header_Global</x:v>
      </x:c>
      <x:c r="D186" s="24" t="str">
        <x:v>G03_KPI_Row</x:v>
      </x:c>
      <x:c r="E186" s="24" t="str">
        <x:v>KPI_Card_03</x:v>
      </x:c>
      <x:c r="F186" s="25" t="n">
        <x:v>0</x:v>
      </x:c>
      <x:c r="G186" s="25" t="n">
        <x:v>0</x:v>
      </x:c>
      <x:c r="H186" s="25" t="n">
        <x:v>1540</x:v>
      </x:c>
      <x:c r="I186" s="25" t="n">
        <x:v>88</x:v>
      </x:c>
      <x:c r="J186" s="25" t="n">
        <x:f>F186+H186</x:f>
        <x:v>1540</x:v>
      </x:c>
      <x:c r="K186" s="25" t="n">
        <x:f>G186+I186</x:f>
        <x:v>88</x:v>
      </x:c>
      <x:c r="L186" s="25" t="n">
        <x:v>626</x:v>
      </x:c>
      <x:c r="M186" s="25" t="n">
        <x:v>330</x:v>
      </x:c>
      <x:c r="N186" s="25" t="n">
        <x:v>287</x:v>
      </x:c>
      <x:c r="O186" s="25" t="n">
        <x:v>180</x:v>
      </x:c>
      <x:c r="P186" s="25" t="n">
        <x:f>L186+N186</x:f>
        <x:v>913</x:v>
      </x:c>
      <x:c r="Q186" s="25" t="n">
        <x:f>M186+O186</x:f>
        <x:v>510</x:v>
      </x:c>
      <x:c r="R186" s="25" t="n">
        <x:f>MAX(0,MIN(J186,P186)-MAX(F186,L186))</x:f>
        <x:v>287</x:v>
      </x:c>
      <x:c r="S186" s="25" t="n">
        <x:f>MAX(0,MIN(K186,Q186)-MAX(G186,M186))</x:f>
        <x:v>0</x:v>
      </x:c>
      <x:c r="T186" s="25" t="n">
        <x:f>R186*S186</x:f>
        <x:v>0</x:v>
      </x:c>
      <x:c r="U186" s="24" t="str">
        <x:f>IF(T186&gt;0,"ERREUR chevauchement","OK aucun chevauchement")</x:f>
        <x:v>OK aucun chevauchement</x:v>
      </x:c>
      <x:c r="V186" s="24" t="str">
        <x:v>OK aucun chevauchement</x:v>
      </x:c>
      <x:c r="W186" s="24" t="str">
        <x:v>Si ERREUR : déplacer/redimensionner l’objet B ou créer un bookmark/masquage</x:v>
      </x:c>
    </x:row>
    <x:row r="187">
      <x:c r="A187" s="24" t="str">
        <x:v>Réseau MIA</x:v>
      </x:c>
      <x:c r="B187" s="24" t="str">
        <x:v>G00_Header_Global</x:v>
      </x:c>
      <x:c r="C187" s="24" t="str">
        <x:v>Header_Global</x:v>
      </x:c>
      <x:c r="D187" s="24" t="str">
        <x:v>G03_KPI_Row</x:v>
      </x:c>
      <x:c r="E187" s="24" t="str">
        <x:v>KPI_Card_04</x:v>
      </x:c>
      <x:c r="F187" s="25" t="n">
        <x:v>0</x:v>
      </x:c>
      <x:c r="G187" s="25" t="n">
        <x:v>0</x:v>
      </x:c>
      <x:c r="H187" s="25" t="n">
        <x:v>1540</x:v>
      </x:c>
      <x:c r="I187" s="25" t="n">
        <x:v>88</x:v>
      </x:c>
      <x:c r="J187" s="25" t="n">
        <x:f>F187+H187</x:f>
        <x:v>1540</x:v>
      </x:c>
      <x:c r="K187" s="25" t="n">
        <x:f>G187+I187</x:f>
        <x:v>88</x:v>
      </x:c>
      <x:c r="L187" s="25" t="n">
        <x:v>929</x:v>
      </x:c>
      <x:c r="M187" s="25" t="n">
        <x:v>330</x:v>
      </x:c>
      <x:c r="N187" s="25" t="n">
        <x:v>287</x:v>
      </x:c>
      <x:c r="O187" s="25" t="n">
        <x:v>180</x:v>
      </x:c>
      <x:c r="P187" s="25" t="n">
        <x:f>L187+N187</x:f>
        <x:v>1216</x:v>
      </x:c>
      <x:c r="Q187" s="25" t="n">
        <x:f>M187+O187</x:f>
        <x:v>510</x:v>
      </x:c>
      <x:c r="R187" s="25" t="n">
        <x:f>MAX(0,MIN(J187,P187)-MAX(F187,L187))</x:f>
        <x:v>287</x:v>
      </x:c>
      <x:c r="S187" s="25" t="n">
        <x:f>MAX(0,MIN(K187,Q187)-MAX(G187,M187))</x:f>
        <x:v>0</x:v>
      </x:c>
      <x:c r="T187" s="25" t="n">
        <x:f>R187*S187</x:f>
        <x:v>0</x:v>
      </x:c>
      <x:c r="U187" s="24" t="str">
        <x:f>IF(T187&gt;0,"ERREUR chevauchement","OK aucun chevauchement")</x:f>
        <x:v>OK aucun chevauchement</x:v>
      </x:c>
      <x:c r="V187" s="24" t="str">
        <x:v>OK aucun chevauchement</x:v>
      </x:c>
      <x:c r="W187" s="24" t="str">
        <x:v>Si ERREUR : déplacer/redimensionner l’objet B ou créer un bookmark/masquage</x:v>
      </x:c>
    </x:row>
    <x:row r="188">
      <x:c r="A188" s="24" t="str">
        <x:v>Réseau MIA</x:v>
      </x:c>
      <x:c r="B188" s="24" t="str">
        <x:v>G00_Header_Global</x:v>
      </x:c>
      <x:c r="C188" s="24" t="str">
        <x:v>Header_Global</x:v>
      </x:c>
      <x:c r="D188" s="24" t="str">
        <x:v>G03_KPI_Row</x:v>
      </x:c>
      <x:c r="E188" s="24" t="str">
        <x:v>KPI_Card_05</x:v>
      </x:c>
      <x:c r="F188" s="25" t="n">
        <x:v>0</x:v>
      </x:c>
      <x:c r="G188" s="25" t="n">
        <x:v>0</x:v>
      </x:c>
      <x:c r="H188" s="25" t="n">
        <x:v>1540</x:v>
      </x:c>
      <x:c r="I188" s="25" t="n">
        <x:v>88</x:v>
      </x:c>
      <x:c r="J188" s="25" t="n">
        <x:f>F188+H188</x:f>
        <x:v>1540</x:v>
      </x:c>
      <x:c r="K188" s="25" t="n">
        <x:f>G188+I188</x:f>
        <x:v>88</x:v>
      </x:c>
      <x:c r="L188" s="25" t="n">
        <x:v>1232</x:v>
      </x:c>
      <x:c r="M188" s="25" t="n">
        <x:v>330</x:v>
      </x:c>
      <x:c r="N188" s="25" t="n">
        <x:v>287</x:v>
      </x:c>
      <x:c r="O188" s="25" t="n">
        <x:v>180</x:v>
      </x:c>
      <x:c r="P188" s="25" t="n">
        <x:f>L188+N188</x:f>
        <x:v>1519</x:v>
      </x:c>
      <x:c r="Q188" s="25" t="n">
        <x:f>M188+O188</x:f>
        <x:v>510</x:v>
      </x:c>
      <x:c r="R188" s="25" t="n">
        <x:f>MAX(0,MIN(J188,P188)-MAX(F188,L188))</x:f>
        <x:v>287</x:v>
      </x:c>
      <x:c r="S188" s="25" t="n">
        <x:f>MAX(0,MIN(K188,Q188)-MAX(G188,M188))</x:f>
        <x:v>0</x:v>
      </x:c>
      <x:c r="T188" s="25" t="n">
        <x:f>R188*S188</x:f>
        <x:v>0</x:v>
      </x:c>
      <x:c r="U188" s="24" t="str">
        <x:f>IF(T188&gt;0,"ERREUR chevauchement","OK aucun chevauchement")</x:f>
        <x:v>OK aucun chevauchement</x:v>
      </x:c>
      <x:c r="V188" s="24" t="str">
        <x:v>OK aucun chevauchement</x:v>
      </x:c>
      <x:c r="W188" s="24" t="str">
        <x:v>Si ERREUR : déplacer/redimensionner l’objet B ou créer un bookmark/masquage</x:v>
      </x:c>
    </x:row>
    <x:row r="189">
      <x:c r="A189" s="24" t="str">
        <x:v>Réseau MIA</x:v>
      </x:c>
      <x:c r="B189" s="24" t="str">
        <x:v>G00_Header_Global</x:v>
      </x:c>
      <x:c r="C189" s="24" t="str">
        <x:v>Header_Global</x:v>
      </x:c>
      <x:c r="D189" s="24" t="str">
        <x:v>G04_Map_Main</x:v>
      </x:c>
      <x:c r="E189" s="24" t="str">
        <x:v>Map_Carte_France</x:v>
      </x:c>
      <x:c r="F189" s="25" t="n">
        <x:v>0</x:v>
      </x:c>
      <x:c r="G189" s="25" t="n">
        <x:v>0</x:v>
      </x:c>
      <x:c r="H189" s="25" t="n">
        <x:v>1540</x:v>
      </x:c>
      <x:c r="I189" s="25" t="n">
        <x:v>88</x:v>
      </x:c>
      <x:c r="J189" s="25" t="n">
        <x:f>F189+H189</x:f>
        <x:v>1540</x:v>
      </x:c>
      <x:c r="K189" s="25" t="n">
        <x:f>G189+I189</x:f>
        <x:v>88</x:v>
      </x:c>
      <x:c r="L189" s="25" t="n">
        <x:v>20</x:v>
      </x:c>
      <x:c r="M189" s="25" t="n">
        <x:v>535</x:v>
      </x:c>
      <x:c r="N189" s="25" t="n">
        <x:v>830</x:v>
      </x:c>
      <x:c r="O189" s="25" t="n">
        <x:v>560</x:v>
      </x:c>
      <x:c r="P189" s="25" t="n">
        <x:f>L189+N189</x:f>
        <x:v>850</x:v>
      </x:c>
      <x:c r="Q189" s="25" t="n">
        <x:f>M189+O189</x:f>
        <x:v>1095</x:v>
      </x:c>
      <x:c r="R189" s="25" t="n">
        <x:f>MAX(0,MIN(J189,P189)-MAX(F189,L189))</x:f>
        <x:v>830</x:v>
      </x:c>
      <x:c r="S189" s="25" t="n">
        <x:f>MAX(0,MIN(K189,Q189)-MAX(G189,M189))</x:f>
        <x:v>0</x:v>
      </x:c>
      <x:c r="T189" s="25" t="n">
        <x:f>R189*S189</x:f>
        <x:v>0</x:v>
      </x:c>
      <x:c r="U189" s="24" t="str">
        <x:f>IF(T189&gt;0,"ERREUR chevauchement","OK aucun chevauchement")</x:f>
        <x:v>OK aucun chevauchement</x:v>
      </x:c>
      <x:c r="V189" s="24" t="str">
        <x:v>OK aucun chevauchement</x:v>
      </x:c>
      <x:c r="W189" s="24" t="str">
        <x:v>Si ERREUR : déplacer/redimensionner l’objet B ou créer un bookmark/masquage</x:v>
      </x:c>
    </x:row>
    <x:row r="190">
      <x:c r="A190" s="24" t="str">
        <x:v>Réseau MIA</x:v>
      </x:c>
      <x:c r="B190" s="24" t="str">
        <x:v>G00_Header_Global</x:v>
      </x:c>
      <x:c r="C190" s="24" t="str">
        <x:v>Header_Global</x:v>
      </x:c>
      <x:c r="D190" s="24" t="str">
        <x:v>G05_Right_Analytics</x:v>
      </x:c>
      <x:c r="E190" s="24" t="str">
        <x:v>Donut_CSP</x:v>
      </x:c>
      <x:c r="F190" s="25" t="n">
        <x:v>0</x:v>
      </x:c>
      <x:c r="G190" s="25" t="n">
        <x:v>0</x:v>
      </x:c>
      <x:c r="H190" s="25" t="n">
        <x:v>1540</x:v>
      </x:c>
      <x:c r="I190" s="25" t="n">
        <x:v>88</x:v>
      </x:c>
      <x:c r="J190" s="25" t="n">
        <x:f>F190+H190</x:f>
        <x:v>1540</x:v>
      </x:c>
      <x:c r="K190" s="25" t="n">
        <x:f>G190+I190</x:f>
        <x:v>88</x:v>
      </x:c>
      <x:c r="L190" s="25" t="n">
        <x:v>866</x:v>
      </x:c>
      <x:c r="M190" s="25" t="n">
        <x:v>535</x:v>
      </x:c>
      <x:c r="N190" s="25" t="n">
        <x:v>316</x:v>
      </x:c>
      <x:c r="O190" s="25" t="n">
        <x:v>300</x:v>
      </x:c>
      <x:c r="P190" s="25" t="n">
        <x:f>L190+N190</x:f>
        <x:v>1182</x:v>
      </x:c>
      <x:c r="Q190" s="25" t="n">
        <x:f>M190+O190</x:f>
        <x:v>835</x:v>
      </x:c>
      <x:c r="R190" s="25" t="n">
        <x:f>MAX(0,MIN(J190,P190)-MAX(F190,L190))</x:f>
        <x:v>316</x:v>
      </x:c>
      <x:c r="S190" s="25" t="n">
        <x:f>MAX(0,MIN(K190,Q190)-MAX(G190,M190))</x:f>
        <x:v>0</x:v>
      </x:c>
      <x:c r="T190" s="25" t="n">
        <x:f>R190*S190</x:f>
        <x:v>0</x:v>
      </x:c>
      <x:c r="U190" s="24" t="str">
        <x:f>IF(T190&gt;0,"ERREUR chevauchement","OK aucun chevauchement")</x:f>
        <x:v>OK aucun chevauchement</x:v>
      </x:c>
      <x:c r="V190" s="24" t="str">
        <x:v>OK aucun chevauchement</x:v>
      </x:c>
      <x:c r="W190" s="24" t="str">
        <x:v>Si ERREUR : déplacer/redimensionner l’objet B ou créer un bookmark/masquage</x:v>
      </x:c>
    </x:row>
    <x:row r="191">
      <x:c r="A191" s="24" t="str">
        <x:v>Réseau MIA</x:v>
      </x:c>
      <x:c r="B191" s="24" t="str">
        <x:v>G00_Header_Global</x:v>
      </x:c>
      <x:c r="C191" s="24" t="str">
        <x:v>Header_Global</x:v>
      </x:c>
      <x:c r="D191" s="24" t="str">
        <x:v>G05_Right_Analytics</x:v>
      </x:c>
      <x:c r="E191" s="24" t="str">
        <x:v>Donut_MIA</x:v>
      </x:c>
      <x:c r="F191" s="25" t="n">
        <x:v>0</x:v>
      </x:c>
      <x:c r="G191" s="25" t="n">
        <x:v>0</x:v>
      </x:c>
      <x:c r="H191" s="25" t="n">
        <x:v>1540</x:v>
      </x:c>
      <x:c r="I191" s="25" t="n">
        <x:v>88</x:v>
      </x:c>
      <x:c r="J191" s="25" t="n">
        <x:f>F191+H191</x:f>
        <x:v>1540</x:v>
      </x:c>
      <x:c r="K191" s="25" t="n">
        <x:f>G191+I191</x:f>
        <x:v>88</x:v>
      </x:c>
      <x:c r="L191" s="25" t="n">
        <x:v>1198</x:v>
      </x:c>
      <x:c r="M191" s="25" t="n">
        <x:v>535</x:v>
      </x:c>
      <x:c r="N191" s="25" t="n">
        <x:v>322</x:v>
      </x:c>
      <x:c r="O191" s="25" t="n">
        <x:v>300</x:v>
      </x:c>
      <x:c r="P191" s="25" t="n">
        <x:f>L191+N191</x:f>
        <x:v>1520</x:v>
      </x:c>
      <x:c r="Q191" s="25" t="n">
        <x:f>M191+O191</x:f>
        <x:v>835</x:v>
      </x:c>
      <x:c r="R191" s="25" t="n">
        <x:f>MAX(0,MIN(J191,P191)-MAX(F191,L191))</x:f>
        <x:v>322</x:v>
      </x:c>
      <x:c r="S191" s="25" t="n">
        <x:f>MAX(0,MIN(K191,Q191)-MAX(G191,M191))</x:f>
        <x:v>0</x:v>
      </x:c>
      <x:c r="T191" s="25" t="n">
        <x:f>R191*S191</x:f>
        <x:v>0</x:v>
      </x:c>
      <x:c r="U191" s="24" t="str">
        <x:f>IF(T191&gt;0,"ERREUR chevauchement","OK aucun chevauchement")</x:f>
        <x:v>OK aucun chevauchement</x:v>
      </x:c>
      <x:c r="V191" s="24" t="str">
        <x:v>OK aucun chevauchement</x:v>
      </x:c>
      <x:c r="W191" s="24" t="str">
        <x:v>Si ERREUR : déplacer/redimensionner l’objet B ou créer un bookmark/masquage</x:v>
      </x:c>
    </x:row>
    <x:row r="192">
      <x:c r="A192" s="24" t="str">
        <x:v>Réseau MIA</x:v>
      </x:c>
      <x:c r="B192" s="24" t="str">
        <x:v>G00_Header_Global</x:v>
      </x:c>
      <x:c r="C192" s="24" t="str">
        <x:v>Header_Global</x:v>
      </x:c>
      <x:c r="D192" s="24" t="str">
        <x:v>G05_Right_Analytics</x:v>
      </x:c>
      <x:c r="E192" s="24" t="str">
        <x:v>Tableau_Compact</x:v>
      </x:c>
      <x:c r="F192" s="25" t="n">
        <x:v>0</x:v>
      </x:c>
      <x:c r="G192" s="25" t="n">
        <x:v>0</x:v>
      </x:c>
      <x:c r="H192" s="25" t="n">
        <x:v>1540</x:v>
      </x:c>
      <x:c r="I192" s="25" t="n">
        <x:v>88</x:v>
      </x:c>
      <x:c r="J192" s="25" t="n">
        <x:f>F192+H192</x:f>
        <x:v>1540</x:v>
      </x:c>
      <x:c r="K192" s="25" t="n">
        <x:f>G192+I192</x:f>
        <x:v>88</x:v>
      </x:c>
      <x:c r="L192" s="25" t="n">
        <x:v>866</x:v>
      </x:c>
      <x:c r="M192" s="25" t="n">
        <x:v>851</x:v>
      </x:c>
      <x:c r="N192" s="25" t="n">
        <x:v>654</x:v>
      </x:c>
      <x:c r="O192" s="25" t="n">
        <x:v>230</x:v>
      </x:c>
      <x:c r="P192" s="25" t="n">
        <x:f>L192+N192</x:f>
        <x:v>1520</x:v>
      </x:c>
      <x:c r="Q192" s="25" t="n">
        <x:f>M192+O192</x:f>
        <x:v>1081</x:v>
      </x:c>
      <x:c r="R192" s="25" t="n">
        <x:f>MAX(0,MIN(J192,P192)-MAX(F192,L192))</x:f>
        <x:v>654</x:v>
      </x:c>
      <x:c r="S192" s="25" t="n">
        <x:f>MAX(0,MIN(K192,Q192)-MAX(G192,M192))</x:f>
        <x:v>0</x:v>
      </x:c>
      <x:c r="T192" s="25" t="n">
        <x:f>R192*S192</x:f>
        <x:v>0</x:v>
      </x:c>
      <x:c r="U192" s="24" t="str">
        <x:f>IF(T192&gt;0,"ERREUR chevauchement","OK aucun chevauchement")</x:f>
        <x:v>OK aucun chevauchement</x:v>
      </x:c>
      <x:c r="V192" s="24" t="str">
        <x:v>OK aucun chevauchement</x:v>
      </x:c>
      <x:c r="W192" s="24" t="str">
        <x:v>Si ERREUR : déplacer/redimensionner l’objet B ou créer un bookmark/masquage</x:v>
      </x:c>
    </x:row>
    <x:row r="193">
      <x:c r="A193" s="24" t="str">
        <x:v>Réseau MIA</x:v>
      </x:c>
      <x:c r="B193" s="24" t="str">
        <x:v>G00_Header_Global</x:v>
      </x:c>
      <x:c r="C193" s="24" t="str">
        <x:v>Header_Global</x:v>
      </x:c>
      <x:c r="D193" s="24" t="str">
        <x:v>G05_Right_Analytics</x:v>
      </x:c>
      <x:c r="E193" s="24" t="str">
        <x:v>Bar_MIA_Productifs</x:v>
      </x:c>
      <x:c r="F193" s="25" t="n">
        <x:v>0</x:v>
      </x:c>
      <x:c r="G193" s="25" t="n">
        <x:v>0</x:v>
      </x:c>
      <x:c r="H193" s="25" t="n">
        <x:v>1540</x:v>
      </x:c>
      <x:c r="I193" s="25" t="n">
        <x:v>88</x:v>
      </x:c>
      <x:c r="J193" s="25" t="n">
        <x:f>F193+H193</x:f>
        <x:v>1540</x:v>
      </x:c>
      <x:c r="K193" s="25" t="n">
        <x:f>G193+I193</x:f>
        <x:v>88</x:v>
      </x:c>
      <x:c r="L193" s="25" t="n">
        <x:v>866</x:v>
      </x:c>
      <x:c r="M193" s="25" t="n">
        <x:v>1097</x:v>
      </x:c>
      <x:c r="N193" s="25" t="n">
        <x:v>654</x:v>
      </x:c>
      <x:c r="O193" s="25" t="n">
        <x:v>300</x:v>
      </x:c>
      <x:c r="P193" s="25" t="n">
        <x:f>L193+N193</x:f>
        <x:v>1520</x:v>
      </x:c>
      <x:c r="Q193" s="25" t="n">
        <x:f>M193+O193</x:f>
        <x:v>1397</x:v>
      </x:c>
      <x:c r="R193" s="25" t="n">
        <x:f>MAX(0,MIN(J193,P193)-MAX(F193,L193))</x:f>
        <x:v>654</x:v>
      </x:c>
      <x:c r="S193" s="25" t="n">
        <x:f>MAX(0,MIN(K193,Q193)-MAX(G193,M193))</x:f>
        <x:v>0</x:v>
      </x:c>
      <x:c r="T193" s="25" t="n">
        <x:f>R193*S193</x:f>
        <x:v>0</x:v>
      </x:c>
      <x:c r="U193" s="24" t="str">
        <x:f>IF(T193&gt;0,"ERREUR chevauchement","OK aucun chevauchement")</x:f>
        <x:v>OK aucun chevauchement</x:v>
      </x:c>
      <x:c r="V193" s="24" t="str">
        <x:v>OK aucun chevauchement</x:v>
      </x:c>
      <x:c r="W193" s="24" t="str">
        <x:v>Si ERREUR : déplacer/redimensionner l’objet B ou créer un bookmark/masquage</x:v>
      </x:c>
    </x:row>
    <x:row r="194">
      <x:c r="A194" s="24" t="str">
        <x:v>Réseau MIA</x:v>
      </x:c>
      <x:c r="B194" s="24" t="str">
        <x:v>G01_Title_Zone</x:v>
      </x:c>
      <x:c r="C194" s="24" t="str">
        <x:v>Title_Zone</x:v>
      </x:c>
      <x:c r="D194" s="24" t="str">
        <x:v>G02_Toolbar</x:v>
      </x:c>
      <x:c r="E194" s="24" t="str">
        <x:v>Toolbar_Slicers_FieldParams</x:v>
      </x:c>
      <x:c r="F194" s="25" t="n">
        <x:v>20</x:v>
      </x:c>
      <x:c r="G194" s="25" t="n">
        <x:v>110</x:v>
      </x:c>
      <x:c r="H194" s="25" t="n">
        <x:v>1500</x:v>
      </x:c>
      <x:c r="I194" s="25" t="n">
        <x:v>132</x:v>
      </x:c>
      <x:c r="J194" s="25" t="n">
        <x:f>F194+H194</x:f>
        <x:v>1520</x:v>
      </x:c>
      <x:c r="K194" s="25" t="n">
        <x:f>G194+I194</x:f>
        <x:v>242</x:v>
      </x:c>
      <x:c r="L194" s="25" t="n">
        <x:v>20</x:v>
      </x:c>
      <x:c r="M194" s="25" t="n">
        <x:v>260</x:v>
      </x:c>
      <x:c r="N194" s="25" t="n">
        <x:v>1500</x:v>
      </x:c>
      <x:c r="O194" s="25" t="n">
        <x:v>56</x:v>
      </x:c>
      <x:c r="P194" s="25" t="n">
        <x:f>L194+N194</x:f>
        <x:v>1520</x:v>
      </x:c>
      <x:c r="Q194" s="25" t="n">
        <x:f>M194+O194</x:f>
        <x:v>316</x:v>
      </x:c>
      <x:c r="R194" s="25" t="n">
        <x:f>MAX(0,MIN(J194,P194)-MAX(F194,L194))</x:f>
        <x:v>1500</x:v>
      </x:c>
      <x:c r="S194" s="25" t="n">
        <x:f>MAX(0,MIN(K194,Q194)-MAX(G194,M194))</x:f>
        <x:v>0</x:v>
      </x:c>
      <x:c r="T194" s="25" t="n">
        <x:f>R194*S194</x:f>
        <x:v>0</x:v>
      </x:c>
      <x:c r="U194" s="24" t="str">
        <x:f>IF(T194&gt;0,"ERREUR chevauchement","OK aucun chevauchement")</x:f>
        <x:v>OK aucun chevauchement</x:v>
      </x:c>
      <x:c r="V194" s="24" t="str">
        <x:v>OK aucun chevauchement</x:v>
      </x:c>
      <x:c r="W194" s="24" t="str">
        <x:v>Si ERREUR : déplacer/redimensionner l’objet B ou créer un bookmark/masquage</x:v>
      </x:c>
    </x:row>
    <x:row r="195">
      <x:c r="A195" s="24" t="str">
        <x:v>Réseau MIA</x:v>
      </x:c>
      <x:c r="B195" s="24" t="str">
        <x:v>G01_Title_Zone</x:v>
      </x:c>
      <x:c r="C195" s="24" t="str">
        <x:v>Title_Zone</x:v>
      </x:c>
      <x:c r="D195" s="24" t="str">
        <x:v>G03_KPI_Row</x:v>
      </x:c>
      <x:c r="E195" s="24" t="str">
        <x:v>KPI_Card_01</x:v>
      </x:c>
      <x:c r="F195" s="25" t="n">
        <x:v>20</x:v>
      </x:c>
      <x:c r="G195" s="25" t="n">
        <x:v>110</x:v>
      </x:c>
      <x:c r="H195" s="25" t="n">
        <x:v>1500</x:v>
      </x:c>
      <x:c r="I195" s="25" t="n">
        <x:v>132</x:v>
      </x:c>
      <x:c r="J195" s="25" t="n">
        <x:f>F195+H195</x:f>
        <x:v>1520</x:v>
      </x:c>
      <x:c r="K195" s="25" t="n">
        <x:f>G195+I195</x:f>
        <x:v>242</x:v>
      </x:c>
      <x:c r="L195" s="25" t="n">
        <x:v>20</x:v>
      </x:c>
      <x:c r="M195" s="25" t="n">
        <x:v>330</x:v>
      </x:c>
      <x:c r="N195" s="25" t="n">
        <x:v>287</x:v>
      </x:c>
      <x:c r="O195" s="25" t="n">
        <x:v>180</x:v>
      </x:c>
      <x:c r="P195" s="25" t="n">
        <x:f>L195+N195</x:f>
        <x:v>307</x:v>
      </x:c>
      <x:c r="Q195" s="25" t="n">
        <x:f>M195+O195</x:f>
        <x:v>510</x:v>
      </x:c>
      <x:c r="R195" s="25" t="n">
        <x:f>MAX(0,MIN(J195,P195)-MAX(F195,L195))</x:f>
        <x:v>287</x:v>
      </x:c>
      <x:c r="S195" s="25" t="n">
        <x:f>MAX(0,MIN(K195,Q195)-MAX(G195,M195))</x:f>
        <x:v>0</x:v>
      </x:c>
      <x:c r="T195" s="25" t="n">
        <x:f>R195*S195</x:f>
        <x:v>0</x:v>
      </x:c>
      <x:c r="U195" s="24" t="str">
        <x:f>IF(T195&gt;0,"ERREUR chevauchement","OK aucun chevauchement")</x:f>
        <x:v>OK aucun chevauchement</x:v>
      </x:c>
      <x:c r="V195" s="24" t="str">
        <x:v>OK aucun chevauchement</x:v>
      </x:c>
      <x:c r="W195" s="24" t="str">
        <x:v>Si ERREUR : déplacer/redimensionner l’objet B ou créer un bookmark/masquage</x:v>
      </x:c>
    </x:row>
    <x:row r="196">
      <x:c r="A196" s="24" t="str">
        <x:v>Réseau MIA</x:v>
      </x:c>
      <x:c r="B196" s="24" t="str">
        <x:v>G01_Title_Zone</x:v>
      </x:c>
      <x:c r="C196" s="24" t="str">
        <x:v>Title_Zone</x:v>
      </x:c>
      <x:c r="D196" s="24" t="str">
        <x:v>G03_KPI_Row</x:v>
      </x:c>
      <x:c r="E196" s="24" t="str">
        <x:v>KPI_Card_02</x:v>
      </x:c>
      <x:c r="F196" s="25" t="n">
        <x:v>20</x:v>
      </x:c>
      <x:c r="G196" s="25" t="n">
        <x:v>110</x:v>
      </x:c>
      <x:c r="H196" s="25" t="n">
        <x:v>1500</x:v>
      </x:c>
      <x:c r="I196" s="25" t="n">
        <x:v>132</x:v>
      </x:c>
      <x:c r="J196" s="25" t="n">
        <x:f>F196+H196</x:f>
        <x:v>1520</x:v>
      </x:c>
      <x:c r="K196" s="25" t="n">
        <x:f>G196+I196</x:f>
        <x:v>242</x:v>
      </x:c>
      <x:c r="L196" s="25" t="n">
        <x:v>323</x:v>
      </x:c>
      <x:c r="M196" s="25" t="n">
        <x:v>330</x:v>
      </x:c>
      <x:c r="N196" s="25" t="n">
        <x:v>287</x:v>
      </x:c>
      <x:c r="O196" s="25" t="n">
        <x:v>180</x:v>
      </x:c>
      <x:c r="P196" s="25" t="n">
        <x:f>L196+N196</x:f>
        <x:v>610</x:v>
      </x:c>
      <x:c r="Q196" s="25" t="n">
        <x:f>M196+O196</x:f>
        <x:v>510</x:v>
      </x:c>
      <x:c r="R196" s="25" t="n">
        <x:f>MAX(0,MIN(J196,P196)-MAX(F196,L196))</x:f>
        <x:v>287</x:v>
      </x:c>
      <x:c r="S196" s="25" t="n">
        <x:f>MAX(0,MIN(K196,Q196)-MAX(G196,M196))</x:f>
        <x:v>0</x:v>
      </x:c>
      <x:c r="T196" s="25" t="n">
        <x:f>R196*S196</x:f>
        <x:v>0</x:v>
      </x:c>
      <x:c r="U196" s="24" t="str">
        <x:f>IF(T196&gt;0,"ERREUR chevauchement","OK aucun chevauchement")</x:f>
        <x:v>OK aucun chevauchement</x:v>
      </x:c>
      <x:c r="V196" s="24" t="str">
        <x:v>OK aucun chevauchement</x:v>
      </x:c>
      <x:c r="W196" s="24" t="str">
        <x:v>Si ERREUR : déplacer/redimensionner l’objet B ou créer un bookmark/masquage</x:v>
      </x:c>
    </x:row>
    <x:row r="197">
      <x:c r="A197" s="24" t="str">
        <x:v>Réseau MIA</x:v>
      </x:c>
      <x:c r="B197" s="24" t="str">
        <x:v>G01_Title_Zone</x:v>
      </x:c>
      <x:c r="C197" s="24" t="str">
        <x:v>Title_Zone</x:v>
      </x:c>
      <x:c r="D197" s="24" t="str">
        <x:v>G03_KPI_Row</x:v>
      </x:c>
      <x:c r="E197" s="24" t="str">
        <x:v>KPI_Card_03</x:v>
      </x:c>
      <x:c r="F197" s="25" t="n">
        <x:v>20</x:v>
      </x:c>
      <x:c r="G197" s="25" t="n">
        <x:v>110</x:v>
      </x:c>
      <x:c r="H197" s="25" t="n">
        <x:v>1500</x:v>
      </x:c>
      <x:c r="I197" s="25" t="n">
        <x:v>132</x:v>
      </x:c>
      <x:c r="J197" s="25" t="n">
        <x:f>F197+H197</x:f>
        <x:v>1520</x:v>
      </x:c>
      <x:c r="K197" s="25" t="n">
        <x:f>G197+I197</x:f>
        <x:v>242</x:v>
      </x:c>
      <x:c r="L197" s="25" t="n">
        <x:v>626</x:v>
      </x:c>
      <x:c r="M197" s="25" t="n">
        <x:v>330</x:v>
      </x:c>
      <x:c r="N197" s="25" t="n">
        <x:v>287</x:v>
      </x:c>
      <x:c r="O197" s="25" t="n">
        <x:v>180</x:v>
      </x:c>
      <x:c r="P197" s="25" t="n">
        <x:f>L197+N197</x:f>
        <x:v>913</x:v>
      </x:c>
      <x:c r="Q197" s="25" t="n">
        <x:f>M197+O197</x:f>
        <x:v>510</x:v>
      </x:c>
      <x:c r="R197" s="25" t="n">
        <x:f>MAX(0,MIN(J197,P197)-MAX(F197,L197))</x:f>
        <x:v>287</x:v>
      </x:c>
      <x:c r="S197" s="25" t="n">
        <x:f>MAX(0,MIN(K197,Q197)-MAX(G197,M197))</x:f>
        <x:v>0</x:v>
      </x:c>
      <x:c r="T197" s="25" t="n">
        <x:f>R197*S197</x:f>
        <x:v>0</x:v>
      </x:c>
      <x:c r="U197" s="24" t="str">
        <x:f>IF(T197&gt;0,"ERREUR chevauchement","OK aucun chevauchement")</x:f>
        <x:v>OK aucun chevauchement</x:v>
      </x:c>
      <x:c r="V197" s="24" t="str">
        <x:v>OK aucun chevauchement</x:v>
      </x:c>
      <x:c r="W197" s="24" t="str">
        <x:v>Si ERREUR : déplacer/redimensionner l’objet B ou créer un bookmark/masquage</x:v>
      </x:c>
    </x:row>
    <x:row r="198">
      <x:c r="A198" s="24" t="str">
        <x:v>Réseau MIA</x:v>
      </x:c>
      <x:c r="B198" s="24" t="str">
        <x:v>G01_Title_Zone</x:v>
      </x:c>
      <x:c r="C198" s="24" t="str">
        <x:v>Title_Zone</x:v>
      </x:c>
      <x:c r="D198" s="24" t="str">
        <x:v>G03_KPI_Row</x:v>
      </x:c>
      <x:c r="E198" s="24" t="str">
        <x:v>KPI_Card_04</x:v>
      </x:c>
      <x:c r="F198" s="25" t="n">
        <x:v>20</x:v>
      </x:c>
      <x:c r="G198" s="25" t="n">
        <x:v>110</x:v>
      </x:c>
      <x:c r="H198" s="25" t="n">
        <x:v>1500</x:v>
      </x:c>
      <x:c r="I198" s="25" t="n">
        <x:v>132</x:v>
      </x:c>
      <x:c r="J198" s="25" t="n">
        <x:f>F198+H198</x:f>
        <x:v>1520</x:v>
      </x:c>
      <x:c r="K198" s="25" t="n">
        <x:f>G198+I198</x:f>
        <x:v>242</x:v>
      </x:c>
      <x:c r="L198" s="25" t="n">
        <x:v>929</x:v>
      </x:c>
      <x:c r="M198" s="25" t="n">
        <x:v>330</x:v>
      </x:c>
      <x:c r="N198" s="25" t="n">
        <x:v>287</x:v>
      </x:c>
      <x:c r="O198" s="25" t="n">
        <x:v>180</x:v>
      </x:c>
      <x:c r="P198" s="25" t="n">
        <x:f>L198+N198</x:f>
        <x:v>1216</x:v>
      </x:c>
      <x:c r="Q198" s="25" t="n">
        <x:f>M198+O198</x:f>
        <x:v>510</x:v>
      </x:c>
      <x:c r="R198" s="25" t="n">
        <x:f>MAX(0,MIN(J198,P198)-MAX(F198,L198))</x:f>
        <x:v>287</x:v>
      </x:c>
      <x:c r="S198" s="25" t="n">
        <x:f>MAX(0,MIN(K198,Q198)-MAX(G198,M198))</x:f>
        <x:v>0</x:v>
      </x:c>
      <x:c r="T198" s="25" t="n">
        <x:f>R198*S198</x:f>
        <x:v>0</x:v>
      </x:c>
      <x:c r="U198" s="24" t="str">
        <x:f>IF(T198&gt;0,"ERREUR chevauchement","OK aucun chevauchement")</x:f>
        <x:v>OK aucun chevauchement</x:v>
      </x:c>
      <x:c r="V198" s="24" t="str">
        <x:v>OK aucun chevauchement</x:v>
      </x:c>
      <x:c r="W198" s="24" t="str">
        <x:v>Si ERREUR : déplacer/redimensionner l’objet B ou créer un bookmark/masquage</x:v>
      </x:c>
    </x:row>
    <x:row r="199">
      <x:c r="A199" s="24" t="str">
        <x:v>Réseau MIA</x:v>
      </x:c>
      <x:c r="B199" s="24" t="str">
        <x:v>G01_Title_Zone</x:v>
      </x:c>
      <x:c r="C199" s="24" t="str">
        <x:v>Title_Zone</x:v>
      </x:c>
      <x:c r="D199" s="24" t="str">
        <x:v>G03_KPI_Row</x:v>
      </x:c>
      <x:c r="E199" s="24" t="str">
        <x:v>KPI_Card_05</x:v>
      </x:c>
      <x:c r="F199" s="25" t="n">
        <x:v>20</x:v>
      </x:c>
      <x:c r="G199" s="25" t="n">
        <x:v>110</x:v>
      </x:c>
      <x:c r="H199" s="25" t="n">
        <x:v>1500</x:v>
      </x:c>
      <x:c r="I199" s="25" t="n">
        <x:v>132</x:v>
      </x:c>
      <x:c r="J199" s="25" t="n">
        <x:f>F199+H199</x:f>
        <x:v>1520</x:v>
      </x:c>
      <x:c r="K199" s="25" t="n">
        <x:f>G199+I199</x:f>
        <x:v>242</x:v>
      </x:c>
      <x:c r="L199" s="25" t="n">
        <x:v>1232</x:v>
      </x:c>
      <x:c r="M199" s="25" t="n">
        <x:v>330</x:v>
      </x:c>
      <x:c r="N199" s="25" t="n">
        <x:v>287</x:v>
      </x:c>
      <x:c r="O199" s="25" t="n">
        <x:v>180</x:v>
      </x:c>
      <x:c r="P199" s="25" t="n">
        <x:f>L199+N199</x:f>
        <x:v>1519</x:v>
      </x:c>
      <x:c r="Q199" s="25" t="n">
        <x:f>M199+O199</x:f>
        <x:v>510</x:v>
      </x:c>
      <x:c r="R199" s="25" t="n">
        <x:f>MAX(0,MIN(J199,P199)-MAX(F199,L199))</x:f>
        <x:v>287</x:v>
      </x:c>
      <x:c r="S199" s="25" t="n">
        <x:f>MAX(0,MIN(K199,Q199)-MAX(G199,M199))</x:f>
        <x:v>0</x:v>
      </x:c>
      <x:c r="T199" s="25" t="n">
        <x:f>R199*S199</x:f>
        <x:v>0</x:v>
      </x:c>
      <x:c r="U199" s="24" t="str">
        <x:f>IF(T199&gt;0,"ERREUR chevauchement","OK aucun chevauchement")</x:f>
        <x:v>OK aucun chevauchement</x:v>
      </x:c>
      <x:c r="V199" s="24" t="str">
        <x:v>OK aucun chevauchement</x:v>
      </x:c>
      <x:c r="W199" s="24" t="str">
        <x:v>Si ERREUR : déplacer/redimensionner l’objet B ou créer un bookmark/masquage</x:v>
      </x:c>
    </x:row>
    <x:row r="200">
      <x:c r="A200" s="24" t="str">
        <x:v>Réseau MIA</x:v>
      </x:c>
      <x:c r="B200" s="24" t="str">
        <x:v>G01_Title_Zone</x:v>
      </x:c>
      <x:c r="C200" s="24" t="str">
        <x:v>Title_Zone</x:v>
      </x:c>
      <x:c r="D200" s="24" t="str">
        <x:v>G04_Map_Main</x:v>
      </x:c>
      <x:c r="E200" s="24" t="str">
        <x:v>Map_Carte_France</x:v>
      </x:c>
      <x:c r="F200" s="25" t="n">
        <x:v>20</x:v>
      </x:c>
      <x:c r="G200" s="25" t="n">
        <x:v>110</x:v>
      </x:c>
      <x:c r="H200" s="25" t="n">
        <x:v>1500</x:v>
      </x:c>
      <x:c r="I200" s="25" t="n">
        <x:v>132</x:v>
      </x:c>
      <x:c r="J200" s="25" t="n">
        <x:f>F200+H200</x:f>
        <x:v>1520</x:v>
      </x:c>
      <x:c r="K200" s="25" t="n">
        <x:f>G200+I200</x:f>
        <x:v>242</x:v>
      </x:c>
      <x:c r="L200" s="25" t="n">
        <x:v>20</x:v>
      </x:c>
      <x:c r="M200" s="25" t="n">
        <x:v>535</x:v>
      </x:c>
      <x:c r="N200" s="25" t="n">
        <x:v>830</x:v>
      </x:c>
      <x:c r="O200" s="25" t="n">
        <x:v>560</x:v>
      </x:c>
      <x:c r="P200" s="25" t="n">
        <x:f>L200+N200</x:f>
        <x:v>850</x:v>
      </x:c>
      <x:c r="Q200" s="25" t="n">
        <x:f>M200+O200</x:f>
        <x:v>1095</x:v>
      </x:c>
      <x:c r="R200" s="25" t="n">
        <x:f>MAX(0,MIN(J200,P200)-MAX(F200,L200))</x:f>
        <x:v>830</x:v>
      </x:c>
      <x:c r="S200" s="25" t="n">
        <x:f>MAX(0,MIN(K200,Q200)-MAX(G200,M200))</x:f>
        <x:v>0</x:v>
      </x:c>
      <x:c r="T200" s="25" t="n">
        <x:f>R200*S200</x:f>
        <x:v>0</x:v>
      </x:c>
      <x:c r="U200" s="24" t="str">
        <x:f>IF(T200&gt;0,"ERREUR chevauchement","OK aucun chevauchement")</x:f>
        <x:v>OK aucun chevauchement</x:v>
      </x:c>
      <x:c r="V200" s="24" t="str">
        <x:v>OK aucun chevauchement</x:v>
      </x:c>
      <x:c r="W200" s="24" t="str">
        <x:v>Si ERREUR : déplacer/redimensionner l’objet B ou créer un bookmark/masquage</x:v>
      </x:c>
    </x:row>
    <x:row r="201">
      <x:c r="A201" s="24" t="str">
        <x:v>Réseau MIA</x:v>
      </x:c>
      <x:c r="B201" s="24" t="str">
        <x:v>G01_Title_Zone</x:v>
      </x:c>
      <x:c r="C201" s="24" t="str">
        <x:v>Title_Zone</x:v>
      </x:c>
      <x:c r="D201" s="24" t="str">
        <x:v>G05_Right_Analytics</x:v>
      </x:c>
      <x:c r="E201" s="24" t="str">
        <x:v>Donut_CSP</x:v>
      </x:c>
      <x:c r="F201" s="25" t="n">
        <x:v>20</x:v>
      </x:c>
      <x:c r="G201" s="25" t="n">
        <x:v>110</x:v>
      </x:c>
      <x:c r="H201" s="25" t="n">
        <x:v>1500</x:v>
      </x:c>
      <x:c r="I201" s="25" t="n">
        <x:v>132</x:v>
      </x:c>
      <x:c r="J201" s="25" t="n">
        <x:f>F201+H201</x:f>
        <x:v>1520</x:v>
      </x:c>
      <x:c r="K201" s="25" t="n">
        <x:f>G201+I201</x:f>
        <x:v>242</x:v>
      </x:c>
      <x:c r="L201" s="25" t="n">
        <x:v>866</x:v>
      </x:c>
      <x:c r="M201" s="25" t="n">
        <x:v>535</x:v>
      </x:c>
      <x:c r="N201" s="25" t="n">
        <x:v>316</x:v>
      </x:c>
      <x:c r="O201" s="25" t="n">
        <x:v>300</x:v>
      </x:c>
      <x:c r="P201" s="25" t="n">
        <x:f>L201+N201</x:f>
        <x:v>1182</x:v>
      </x:c>
      <x:c r="Q201" s="25" t="n">
        <x:f>M201+O201</x:f>
        <x:v>835</x:v>
      </x:c>
      <x:c r="R201" s="25" t="n">
        <x:f>MAX(0,MIN(J201,P201)-MAX(F201,L201))</x:f>
        <x:v>316</x:v>
      </x:c>
      <x:c r="S201" s="25" t="n">
        <x:f>MAX(0,MIN(K201,Q201)-MAX(G201,M201))</x:f>
        <x:v>0</x:v>
      </x:c>
      <x:c r="T201" s="25" t="n">
        <x:f>R201*S201</x:f>
        <x:v>0</x:v>
      </x:c>
      <x:c r="U201" s="24" t="str">
        <x:f>IF(T201&gt;0,"ERREUR chevauchement","OK aucun chevauchement")</x:f>
        <x:v>OK aucun chevauchement</x:v>
      </x:c>
      <x:c r="V201" s="24" t="str">
        <x:v>OK aucun chevauchement</x:v>
      </x:c>
      <x:c r="W201" s="24" t="str">
        <x:v>Si ERREUR : déplacer/redimensionner l’objet B ou créer un bookmark/masquage</x:v>
      </x:c>
    </x:row>
    <x:row r="202">
      <x:c r="A202" s="24" t="str">
        <x:v>Réseau MIA</x:v>
      </x:c>
      <x:c r="B202" s="24" t="str">
        <x:v>G01_Title_Zone</x:v>
      </x:c>
      <x:c r="C202" s="24" t="str">
        <x:v>Title_Zone</x:v>
      </x:c>
      <x:c r="D202" s="24" t="str">
        <x:v>G05_Right_Analytics</x:v>
      </x:c>
      <x:c r="E202" s="24" t="str">
        <x:v>Donut_MIA</x:v>
      </x:c>
      <x:c r="F202" s="25" t="n">
        <x:v>20</x:v>
      </x:c>
      <x:c r="G202" s="25" t="n">
        <x:v>110</x:v>
      </x:c>
      <x:c r="H202" s="25" t="n">
        <x:v>1500</x:v>
      </x:c>
      <x:c r="I202" s="25" t="n">
        <x:v>132</x:v>
      </x:c>
      <x:c r="J202" s="25" t="n">
        <x:f>F202+H202</x:f>
        <x:v>1520</x:v>
      </x:c>
      <x:c r="K202" s="25" t="n">
        <x:f>G202+I202</x:f>
        <x:v>242</x:v>
      </x:c>
      <x:c r="L202" s="25" t="n">
        <x:v>1198</x:v>
      </x:c>
      <x:c r="M202" s="25" t="n">
        <x:v>535</x:v>
      </x:c>
      <x:c r="N202" s="25" t="n">
        <x:v>322</x:v>
      </x:c>
      <x:c r="O202" s="25" t="n">
        <x:v>300</x:v>
      </x:c>
      <x:c r="P202" s="25" t="n">
        <x:f>L202+N202</x:f>
        <x:v>1520</x:v>
      </x:c>
      <x:c r="Q202" s="25" t="n">
        <x:f>M202+O202</x:f>
        <x:v>835</x:v>
      </x:c>
      <x:c r="R202" s="25" t="n">
        <x:f>MAX(0,MIN(J202,P202)-MAX(F202,L202))</x:f>
        <x:v>322</x:v>
      </x:c>
      <x:c r="S202" s="25" t="n">
        <x:f>MAX(0,MIN(K202,Q202)-MAX(G202,M202))</x:f>
        <x:v>0</x:v>
      </x:c>
      <x:c r="T202" s="25" t="n">
        <x:f>R202*S202</x:f>
        <x:v>0</x:v>
      </x:c>
      <x:c r="U202" s="24" t="str">
        <x:f>IF(T202&gt;0,"ERREUR chevauchement","OK aucun chevauchement")</x:f>
        <x:v>OK aucun chevauchement</x:v>
      </x:c>
      <x:c r="V202" s="24" t="str">
        <x:v>OK aucun chevauchement</x:v>
      </x:c>
      <x:c r="W202" s="24" t="str">
        <x:v>Si ERREUR : déplacer/redimensionner l’objet B ou créer un bookmark/masquage</x:v>
      </x:c>
    </x:row>
    <x:row r="203">
      <x:c r="A203" s="24" t="str">
        <x:v>Réseau MIA</x:v>
      </x:c>
      <x:c r="B203" s="24" t="str">
        <x:v>G01_Title_Zone</x:v>
      </x:c>
      <x:c r="C203" s="24" t="str">
        <x:v>Title_Zone</x:v>
      </x:c>
      <x:c r="D203" s="24" t="str">
        <x:v>G05_Right_Analytics</x:v>
      </x:c>
      <x:c r="E203" s="24" t="str">
        <x:v>Tableau_Compact</x:v>
      </x:c>
      <x:c r="F203" s="25" t="n">
        <x:v>20</x:v>
      </x:c>
      <x:c r="G203" s="25" t="n">
        <x:v>110</x:v>
      </x:c>
      <x:c r="H203" s="25" t="n">
        <x:v>1500</x:v>
      </x:c>
      <x:c r="I203" s="25" t="n">
        <x:v>132</x:v>
      </x:c>
      <x:c r="J203" s="25" t="n">
        <x:f>F203+H203</x:f>
        <x:v>1520</x:v>
      </x:c>
      <x:c r="K203" s="25" t="n">
        <x:f>G203+I203</x:f>
        <x:v>242</x:v>
      </x:c>
      <x:c r="L203" s="25" t="n">
        <x:v>866</x:v>
      </x:c>
      <x:c r="M203" s="25" t="n">
        <x:v>851</x:v>
      </x:c>
      <x:c r="N203" s="25" t="n">
        <x:v>654</x:v>
      </x:c>
      <x:c r="O203" s="25" t="n">
        <x:v>230</x:v>
      </x:c>
      <x:c r="P203" s="25" t="n">
        <x:f>L203+N203</x:f>
        <x:v>1520</x:v>
      </x:c>
      <x:c r="Q203" s="25" t="n">
        <x:f>M203+O203</x:f>
        <x:v>1081</x:v>
      </x:c>
      <x:c r="R203" s="25" t="n">
        <x:f>MAX(0,MIN(J203,P203)-MAX(F203,L203))</x:f>
        <x:v>654</x:v>
      </x:c>
      <x:c r="S203" s="25" t="n">
        <x:f>MAX(0,MIN(K203,Q203)-MAX(G203,M203))</x:f>
        <x:v>0</x:v>
      </x:c>
      <x:c r="T203" s="25" t="n">
        <x:f>R203*S203</x:f>
        <x:v>0</x:v>
      </x:c>
      <x:c r="U203" s="24" t="str">
        <x:f>IF(T203&gt;0,"ERREUR chevauchement","OK aucun chevauchement")</x:f>
        <x:v>OK aucun chevauchement</x:v>
      </x:c>
      <x:c r="V203" s="24" t="str">
        <x:v>OK aucun chevauchement</x:v>
      </x:c>
      <x:c r="W203" s="24" t="str">
        <x:v>Si ERREUR : déplacer/redimensionner l’objet B ou créer un bookmark/masquage</x:v>
      </x:c>
    </x:row>
    <x:row r="204">
      <x:c r="A204" s="24" t="str">
        <x:v>Réseau MIA</x:v>
      </x:c>
      <x:c r="B204" s="24" t="str">
        <x:v>G01_Title_Zone</x:v>
      </x:c>
      <x:c r="C204" s="24" t="str">
        <x:v>Title_Zone</x:v>
      </x:c>
      <x:c r="D204" s="24" t="str">
        <x:v>G05_Right_Analytics</x:v>
      </x:c>
      <x:c r="E204" s="24" t="str">
        <x:v>Bar_MIA_Productifs</x:v>
      </x:c>
      <x:c r="F204" s="25" t="n">
        <x:v>20</x:v>
      </x:c>
      <x:c r="G204" s="25" t="n">
        <x:v>110</x:v>
      </x:c>
      <x:c r="H204" s="25" t="n">
        <x:v>1500</x:v>
      </x:c>
      <x:c r="I204" s="25" t="n">
        <x:v>132</x:v>
      </x:c>
      <x:c r="J204" s="25" t="n">
        <x:f>F204+H204</x:f>
        <x:v>1520</x:v>
      </x:c>
      <x:c r="K204" s="25" t="n">
        <x:f>G204+I204</x:f>
        <x:v>242</x:v>
      </x:c>
      <x:c r="L204" s="25" t="n">
        <x:v>866</x:v>
      </x:c>
      <x:c r="M204" s="25" t="n">
        <x:v>1097</x:v>
      </x:c>
      <x:c r="N204" s="25" t="n">
        <x:v>654</x:v>
      </x:c>
      <x:c r="O204" s="25" t="n">
        <x:v>300</x:v>
      </x:c>
      <x:c r="P204" s="25" t="n">
        <x:f>L204+N204</x:f>
        <x:v>1520</x:v>
      </x:c>
      <x:c r="Q204" s="25" t="n">
        <x:f>M204+O204</x:f>
        <x:v>1397</x:v>
      </x:c>
      <x:c r="R204" s="25" t="n">
        <x:f>MAX(0,MIN(J204,P204)-MAX(F204,L204))</x:f>
        <x:v>654</x:v>
      </x:c>
      <x:c r="S204" s="25" t="n">
        <x:f>MAX(0,MIN(K204,Q204)-MAX(G204,M204))</x:f>
        <x:v>0</x:v>
      </x:c>
      <x:c r="T204" s="25" t="n">
        <x:f>R204*S204</x:f>
        <x:v>0</x:v>
      </x:c>
      <x:c r="U204" s="24" t="str">
        <x:f>IF(T204&gt;0,"ERREUR chevauchement","OK aucun chevauchement")</x:f>
        <x:v>OK aucun chevauchement</x:v>
      </x:c>
      <x:c r="V204" s="24" t="str">
        <x:v>OK aucun chevauchement</x:v>
      </x:c>
      <x:c r="W204" s="24" t="str">
        <x:v>Si ERREUR : déplacer/redimensionner l’objet B ou créer un bookmark/masquage</x:v>
      </x:c>
    </x:row>
    <x:row r="205">
      <x:c r="A205" s="24" t="str">
        <x:v>Réseau MIA</x:v>
      </x:c>
      <x:c r="B205" s="24" t="str">
        <x:v>G02_Toolbar</x:v>
      </x:c>
      <x:c r="C205" s="24" t="str">
        <x:v>Toolbar_Slicers_FieldParams</x:v>
      </x:c>
      <x:c r="D205" s="24" t="str">
        <x:v>G03_KPI_Row</x:v>
      </x:c>
      <x:c r="E205" s="24" t="str">
        <x:v>KPI_Card_01</x:v>
      </x:c>
      <x:c r="F205" s="25" t="n">
        <x:v>20</x:v>
      </x:c>
      <x:c r="G205" s="25" t="n">
        <x:v>260</x:v>
      </x:c>
      <x:c r="H205" s="25" t="n">
        <x:v>1500</x:v>
      </x:c>
      <x:c r="I205" s="25" t="n">
        <x:v>56</x:v>
      </x:c>
      <x:c r="J205" s="25" t="n">
        <x:f>F205+H205</x:f>
        <x:v>1520</x:v>
      </x:c>
      <x:c r="K205" s="25" t="n">
        <x:f>G205+I205</x:f>
        <x:v>316</x:v>
      </x:c>
      <x:c r="L205" s="25" t="n">
        <x:v>20</x:v>
      </x:c>
      <x:c r="M205" s="25" t="n">
        <x:v>330</x:v>
      </x:c>
      <x:c r="N205" s="25" t="n">
        <x:v>287</x:v>
      </x:c>
      <x:c r="O205" s="25" t="n">
        <x:v>180</x:v>
      </x:c>
      <x:c r="P205" s="25" t="n">
        <x:f>L205+N205</x:f>
        <x:v>307</x:v>
      </x:c>
      <x:c r="Q205" s="25" t="n">
        <x:f>M205+O205</x:f>
        <x:v>510</x:v>
      </x:c>
      <x:c r="R205" s="25" t="n">
        <x:f>MAX(0,MIN(J205,P205)-MAX(F205,L205))</x:f>
        <x:v>287</x:v>
      </x:c>
      <x:c r="S205" s="25" t="n">
        <x:f>MAX(0,MIN(K205,Q205)-MAX(G205,M205))</x:f>
        <x:v>0</x:v>
      </x:c>
      <x:c r="T205" s="25" t="n">
        <x:f>R205*S205</x:f>
        <x:v>0</x:v>
      </x:c>
      <x:c r="U205" s="24" t="str">
        <x:f>IF(T205&gt;0,"ERREUR chevauchement","OK aucun chevauchement")</x:f>
        <x:v>OK aucun chevauchement</x:v>
      </x:c>
      <x:c r="V205" s="24" t="str">
        <x:v>OK aucun chevauchement</x:v>
      </x:c>
      <x:c r="W205" s="24" t="str">
        <x:v>Si ERREUR : déplacer/redimensionner l’objet B ou créer un bookmark/masquage</x:v>
      </x:c>
    </x:row>
    <x:row r="206">
      <x:c r="A206" s="24" t="str">
        <x:v>Réseau MIA</x:v>
      </x:c>
      <x:c r="B206" s="24" t="str">
        <x:v>G02_Toolbar</x:v>
      </x:c>
      <x:c r="C206" s="24" t="str">
        <x:v>Toolbar_Slicers_FieldParams</x:v>
      </x:c>
      <x:c r="D206" s="24" t="str">
        <x:v>G03_KPI_Row</x:v>
      </x:c>
      <x:c r="E206" s="24" t="str">
        <x:v>KPI_Card_02</x:v>
      </x:c>
      <x:c r="F206" s="25" t="n">
        <x:v>20</x:v>
      </x:c>
      <x:c r="G206" s="25" t="n">
        <x:v>260</x:v>
      </x:c>
      <x:c r="H206" s="25" t="n">
        <x:v>1500</x:v>
      </x:c>
      <x:c r="I206" s="25" t="n">
        <x:v>56</x:v>
      </x:c>
      <x:c r="J206" s="25" t="n">
        <x:f>F206+H206</x:f>
        <x:v>1520</x:v>
      </x:c>
      <x:c r="K206" s="25" t="n">
        <x:f>G206+I206</x:f>
        <x:v>316</x:v>
      </x:c>
      <x:c r="L206" s="25" t="n">
        <x:v>323</x:v>
      </x:c>
      <x:c r="M206" s="25" t="n">
        <x:v>330</x:v>
      </x:c>
      <x:c r="N206" s="25" t="n">
        <x:v>287</x:v>
      </x:c>
      <x:c r="O206" s="25" t="n">
        <x:v>180</x:v>
      </x:c>
      <x:c r="P206" s="25" t="n">
        <x:f>L206+N206</x:f>
        <x:v>610</x:v>
      </x:c>
      <x:c r="Q206" s="25" t="n">
        <x:f>M206+O206</x:f>
        <x:v>510</x:v>
      </x:c>
      <x:c r="R206" s="25" t="n">
        <x:f>MAX(0,MIN(J206,P206)-MAX(F206,L206))</x:f>
        <x:v>287</x:v>
      </x:c>
      <x:c r="S206" s="25" t="n">
        <x:f>MAX(0,MIN(K206,Q206)-MAX(G206,M206))</x:f>
        <x:v>0</x:v>
      </x:c>
      <x:c r="T206" s="25" t="n">
        <x:f>R206*S206</x:f>
        <x:v>0</x:v>
      </x:c>
      <x:c r="U206" s="24" t="str">
        <x:f>IF(T206&gt;0,"ERREUR chevauchement","OK aucun chevauchement")</x:f>
        <x:v>OK aucun chevauchement</x:v>
      </x:c>
      <x:c r="V206" s="24" t="str">
        <x:v>OK aucun chevauchement</x:v>
      </x:c>
      <x:c r="W206" s="24" t="str">
        <x:v>Si ERREUR : déplacer/redimensionner l’objet B ou créer un bookmark/masquage</x:v>
      </x:c>
    </x:row>
    <x:row r="207">
      <x:c r="A207" s="24" t="str">
        <x:v>Réseau MIA</x:v>
      </x:c>
      <x:c r="B207" s="24" t="str">
        <x:v>G02_Toolbar</x:v>
      </x:c>
      <x:c r="C207" s="24" t="str">
        <x:v>Toolbar_Slicers_FieldParams</x:v>
      </x:c>
      <x:c r="D207" s="24" t="str">
        <x:v>G03_KPI_Row</x:v>
      </x:c>
      <x:c r="E207" s="24" t="str">
        <x:v>KPI_Card_03</x:v>
      </x:c>
      <x:c r="F207" s="25" t="n">
        <x:v>20</x:v>
      </x:c>
      <x:c r="G207" s="25" t="n">
        <x:v>260</x:v>
      </x:c>
      <x:c r="H207" s="25" t="n">
        <x:v>1500</x:v>
      </x:c>
      <x:c r="I207" s="25" t="n">
        <x:v>56</x:v>
      </x:c>
      <x:c r="J207" s="25" t="n">
        <x:f>F207+H207</x:f>
        <x:v>1520</x:v>
      </x:c>
      <x:c r="K207" s="25" t="n">
        <x:f>G207+I207</x:f>
        <x:v>316</x:v>
      </x:c>
      <x:c r="L207" s="25" t="n">
        <x:v>626</x:v>
      </x:c>
      <x:c r="M207" s="25" t="n">
        <x:v>330</x:v>
      </x:c>
      <x:c r="N207" s="25" t="n">
        <x:v>287</x:v>
      </x:c>
      <x:c r="O207" s="25" t="n">
        <x:v>180</x:v>
      </x:c>
      <x:c r="P207" s="25" t="n">
        <x:f>L207+N207</x:f>
        <x:v>913</x:v>
      </x:c>
      <x:c r="Q207" s="25" t="n">
        <x:f>M207+O207</x:f>
        <x:v>510</x:v>
      </x:c>
      <x:c r="R207" s="25" t="n">
        <x:f>MAX(0,MIN(J207,P207)-MAX(F207,L207))</x:f>
        <x:v>287</x:v>
      </x:c>
      <x:c r="S207" s="25" t="n">
        <x:f>MAX(0,MIN(K207,Q207)-MAX(G207,M207))</x:f>
        <x:v>0</x:v>
      </x:c>
      <x:c r="T207" s="25" t="n">
        <x:f>R207*S207</x:f>
        <x:v>0</x:v>
      </x:c>
      <x:c r="U207" s="24" t="str">
        <x:f>IF(T207&gt;0,"ERREUR chevauchement","OK aucun chevauchement")</x:f>
        <x:v>OK aucun chevauchement</x:v>
      </x:c>
      <x:c r="V207" s="24" t="str">
        <x:v>OK aucun chevauchement</x:v>
      </x:c>
      <x:c r="W207" s="24" t="str">
        <x:v>Si ERREUR : déplacer/redimensionner l’objet B ou créer un bookmark/masquage</x:v>
      </x:c>
    </x:row>
    <x:row r="208">
      <x:c r="A208" s="24" t="str">
        <x:v>Réseau MIA</x:v>
      </x:c>
      <x:c r="B208" s="24" t="str">
        <x:v>G02_Toolbar</x:v>
      </x:c>
      <x:c r="C208" s="24" t="str">
        <x:v>Toolbar_Slicers_FieldParams</x:v>
      </x:c>
      <x:c r="D208" s="24" t="str">
        <x:v>G03_KPI_Row</x:v>
      </x:c>
      <x:c r="E208" s="24" t="str">
        <x:v>KPI_Card_04</x:v>
      </x:c>
      <x:c r="F208" s="25" t="n">
        <x:v>20</x:v>
      </x:c>
      <x:c r="G208" s="25" t="n">
        <x:v>260</x:v>
      </x:c>
      <x:c r="H208" s="25" t="n">
        <x:v>1500</x:v>
      </x:c>
      <x:c r="I208" s="25" t="n">
        <x:v>56</x:v>
      </x:c>
      <x:c r="J208" s="25" t="n">
        <x:f>F208+H208</x:f>
        <x:v>1520</x:v>
      </x:c>
      <x:c r="K208" s="25" t="n">
        <x:f>G208+I208</x:f>
        <x:v>316</x:v>
      </x:c>
      <x:c r="L208" s="25" t="n">
        <x:v>929</x:v>
      </x:c>
      <x:c r="M208" s="25" t="n">
        <x:v>330</x:v>
      </x:c>
      <x:c r="N208" s="25" t="n">
        <x:v>287</x:v>
      </x:c>
      <x:c r="O208" s="25" t="n">
        <x:v>180</x:v>
      </x:c>
      <x:c r="P208" s="25" t="n">
        <x:f>L208+N208</x:f>
        <x:v>1216</x:v>
      </x:c>
      <x:c r="Q208" s="25" t="n">
        <x:f>M208+O208</x:f>
        <x:v>510</x:v>
      </x:c>
      <x:c r="R208" s="25" t="n">
        <x:f>MAX(0,MIN(J208,P208)-MAX(F208,L208))</x:f>
        <x:v>287</x:v>
      </x:c>
      <x:c r="S208" s="25" t="n">
        <x:f>MAX(0,MIN(K208,Q208)-MAX(G208,M208))</x:f>
        <x:v>0</x:v>
      </x:c>
      <x:c r="T208" s="25" t="n">
        <x:f>R208*S208</x:f>
        <x:v>0</x:v>
      </x:c>
      <x:c r="U208" s="24" t="str">
        <x:f>IF(T208&gt;0,"ERREUR chevauchement","OK aucun chevauchement")</x:f>
        <x:v>OK aucun chevauchement</x:v>
      </x:c>
      <x:c r="V208" s="24" t="str">
        <x:v>OK aucun chevauchement</x:v>
      </x:c>
      <x:c r="W208" s="24" t="str">
        <x:v>Si ERREUR : déplacer/redimensionner l’objet B ou créer un bookmark/masquage</x:v>
      </x:c>
    </x:row>
    <x:row r="209">
      <x:c r="A209" s="24" t="str">
        <x:v>Réseau MIA</x:v>
      </x:c>
      <x:c r="B209" s="24" t="str">
        <x:v>G02_Toolbar</x:v>
      </x:c>
      <x:c r="C209" s="24" t="str">
        <x:v>Toolbar_Slicers_FieldParams</x:v>
      </x:c>
      <x:c r="D209" s="24" t="str">
        <x:v>G03_KPI_Row</x:v>
      </x:c>
      <x:c r="E209" s="24" t="str">
        <x:v>KPI_Card_05</x:v>
      </x:c>
      <x:c r="F209" s="25" t="n">
        <x:v>20</x:v>
      </x:c>
      <x:c r="G209" s="25" t="n">
        <x:v>260</x:v>
      </x:c>
      <x:c r="H209" s="25" t="n">
        <x:v>1500</x:v>
      </x:c>
      <x:c r="I209" s="25" t="n">
        <x:v>56</x:v>
      </x:c>
      <x:c r="J209" s="25" t="n">
        <x:f>F209+H209</x:f>
        <x:v>1520</x:v>
      </x:c>
      <x:c r="K209" s="25" t="n">
        <x:f>G209+I209</x:f>
        <x:v>316</x:v>
      </x:c>
      <x:c r="L209" s="25" t="n">
        <x:v>1232</x:v>
      </x:c>
      <x:c r="M209" s="25" t="n">
        <x:v>330</x:v>
      </x:c>
      <x:c r="N209" s="25" t="n">
        <x:v>287</x:v>
      </x:c>
      <x:c r="O209" s="25" t="n">
        <x:v>180</x:v>
      </x:c>
      <x:c r="P209" s="25" t="n">
        <x:f>L209+N209</x:f>
        <x:v>1519</x:v>
      </x:c>
      <x:c r="Q209" s="25" t="n">
        <x:f>M209+O209</x:f>
        <x:v>510</x:v>
      </x:c>
      <x:c r="R209" s="25" t="n">
        <x:f>MAX(0,MIN(J209,P209)-MAX(F209,L209))</x:f>
        <x:v>287</x:v>
      </x:c>
      <x:c r="S209" s="25" t="n">
        <x:f>MAX(0,MIN(K209,Q209)-MAX(G209,M209))</x:f>
        <x:v>0</x:v>
      </x:c>
      <x:c r="T209" s="25" t="n">
        <x:f>R209*S209</x:f>
        <x:v>0</x:v>
      </x:c>
      <x:c r="U209" s="24" t="str">
        <x:f>IF(T209&gt;0,"ERREUR chevauchement","OK aucun chevauchement")</x:f>
        <x:v>OK aucun chevauchement</x:v>
      </x:c>
      <x:c r="V209" s="24" t="str">
        <x:v>OK aucun chevauchement</x:v>
      </x:c>
      <x:c r="W209" s="24" t="str">
        <x:v>Si ERREUR : déplacer/redimensionner l’objet B ou créer un bookmark/masquage</x:v>
      </x:c>
    </x:row>
    <x:row r="210">
      <x:c r="A210" s="24" t="str">
        <x:v>Réseau MIA</x:v>
      </x:c>
      <x:c r="B210" s="24" t="str">
        <x:v>G02_Toolbar</x:v>
      </x:c>
      <x:c r="C210" s="24" t="str">
        <x:v>Toolbar_Slicers_FieldParams</x:v>
      </x:c>
      <x:c r="D210" s="24" t="str">
        <x:v>G04_Map_Main</x:v>
      </x:c>
      <x:c r="E210" s="24" t="str">
        <x:v>Map_Carte_France</x:v>
      </x:c>
      <x:c r="F210" s="25" t="n">
        <x:v>20</x:v>
      </x:c>
      <x:c r="G210" s="25" t="n">
        <x:v>260</x:v>
      </x:c>
      <x:c r="H210" s="25" t="n">
        <x:v>1500</x:v>
      </x:c>
      <x:c r="I210" s="25" t="n">
        <x:v>56</x:v>
      </x:c>
      <x:c r="J210" s="25" t="n">
        <x:f>F210+H210</x:f>
        <x:v>1520</x:v>
      </x:c>
      <x:c r="K210" s="25" t="n">
        <x:f>G210+I210</x:f>
        <x:v>316</x:v>
      </x:c>
      <x:c r="L210" s="25" t="n">
        <x:v>20</x:v>
      </x:c>
      <x:c r="M210" s="25" t="n">
        <x:v>535</x:v>
      </x:c>
      <x:c r="N210" s="25" t="n">
        <x:v>830</x:v>
      </x:c>
      <x:c r="O210" s="25" t="n">
        <x:v>560</x:v>
      </x:c>
      <x:c r="P210" s="25" t="n">
        <x:f>L210+N210</x:f>
        <x:v>850</x:v>
      </x:c>
      <x:c r="Q210" s="25" t="n">
        <x:f>M210+O210</x:f>
        <x:v>1095</x:v>
      </x:c>
      <x:c r="R210" s="25" t="n">
        <x:f>MAX(0,MIN(J210,P210)-MAX(F210,L210))</x:f>
        <x:v>830</x:v>
      </x:c>
      <x:c r="S210" s="25" t="n">
        <x:f>MAX(0,MIN(K210,Q210)-MAX(G210,M210))</x:f>
        <x:v>0</x:v>
      </x:c>
      <x:c r="T210" s="25" t="n">
        <x:f>R210*S210</x:f>
        <x:v>0</x:v>
      </x:c>
      <x:c r="U210" s="24" t="str">
        <x:f>IF(T210&gt;0,"ERREUR chevauchement","OK aucun chevauchement")</x:f>
        <x:v>OK aucun chevauchement</x:v>
      </x:c>
      <x:c r="V210" s="24" t="str">
        <x:v>OK aucun chevauchement</x:v>
      </x:c>
      <x:c r="W210" s="24" t="str">
        <x:v>Si ERREUR : déplacer/redimensionner l’objet B ou créer un bookmark/masquage</x:v>
      </x:c>
    </x:row>
    <x:row r="211">
      <x:c r="A211" s="24" t="str">
        <x:v>Réseau MIA</x:v>
      </x:c>
      <x:c r="B211" s="24" t="str">
        <x:v>G02_Toolbar</x:v>
      </x:c>
      <x:c r="C211" s="24" t="str">
        <x:v>Toolbar_Slicers_FieldParams</x:v>
      </x:c>
      <x:c r="D211" s="24" t="str">
        <x:v>G05_Right_Analytics</x:v>
      </x:c>
      <x:c r="E211" s="24" t="str">
        <x:v>Donut_CSP</x:v>
      </x:c>
      <x:c r="F211" s="25" t="n">
        <x:v>20</x:v>
      </x:c>
      <x:c r="G211" s="25" t="n">
        <x:v>260</x:v>
      </x:c>
      <x:c r="H211" s="25" t="n">
        <x:v>1500</x:v>
      </x:c>
      <x:c r="I211" s="25" t="n">
        <x:v>56</x:v>
      </x:c>
      <x:c r="J211" s="25" t="n">
        <x:f>F211+H211</x:f>
        <x:v>1520</x:v>
      </x:c>
      <x:c r="K211" s="25" t="n">
        <x:f>G211+I211</x:f>
        <x:v>316</x:v>
      </x:c>
      <x:c r="L211" s="25" t="n">
        <x:v>866</x:v>
      </x:c>
      <x:c r="M211" s="25" t="n">
        <x:v>535</x:v>
      </x:c>
      <x:c r="N211" s="25" t="n">
        <x:v>316</x:v>
      </x:c>
      <x:c r="O211" s="25" t="n">
        <x:v>300</x:v>
      </x:c>
      <x:c r="P211" s="25" t="n">
        <x:f>L211+N211</x:f>
        <x:v>1182</x:v>
      </x:c>
      <x:c r="Q211" s="25" t="n">
        <x:f>M211+O211</x:f>
        <x:v>835</x:v>
      </x:c>
      <x:c r="R211" s="25" t="n">
        <x:f>MAX(0,MIN(J211,P211)-MAX(F211,L211))</x:f>
        <x:v>316</x:v>
      </x:c>
      <x:c r="S211" s="25" t="n">
        <x:f>MAX(0,MIN(K211,Q211)-MAX(G211,M211))</x:f>
        <x:v>0</x:v>
      </x:c>
      <x:c r="T211" s="25" t="n">
        <x:f>R211*S211</x:f>
        <x:v>0</x:v>
      </x:c>
      <x:c r="U211" s="24" t="str">
        <x:f>IF(T211&gt;0,"ERREUR chevauchement","OK aucun chevauchement")</x:f>
        <x:v>OK aucun chevauchement</x:v>
      </x:c>
      <x:c r="V211" s="24" t="str">
        <x:v>OK aucun chevauchement</x:v>
      </x:c>
      <x:c r="W211" s="24" t="str">
        <x:v>Si ERREUR : déplacer/redimensionner l’objet B ou créer un bookmark/masquage</x:v>
      </x:c>
    </x:row>
    <x:row r="212">
      <x:c r="A212" s="24" t="str">
        <x:v>Réseau MIA</x:v>
      </x:c>
      <x:c r="B212" s="24" t="str">
        <x:v>G02_Toolbar</x:v>
      </x:c>
      <x:c r="C212" s="24" t="str">
        <x:v>Toolbar_Slicers_FieldParams</x:v>
      </x:c>
      <x:c r="D212" s="24" t="str">
        <x:v>G05_Right_Analytics</x:v>
      </x:c>
      <x:c r="E212" s="24" t="str">
        <x:v>Donut_MIA</x:v>
      </x:c>
      <x:c r="F212" s="25" t="n">
        <x:v>20</x:v>
      </x:c>
      <x:c r="G212" s="25" t="n">
        <x:v>260</x:v>
      </x:c>
      <x:c r="H212" s="25" t="n">
        <x:v>1500</x:v>
      </x:c>
      <x:c r="I212" s="25" t="n">
        <x:v>56</x:v>
      </x:c>
      <x:c r="J212" s="25" t="n">
        <x:f>F212+H212</x:f>
        <x:v>1520</x:v>
      </x:c>
      <x:c r="K212" s="25" t="n">
        <x:f>G212+I212</x:f>
        <x:v>316</x:v>
      </x:c>
      <x:c r="L212" s="25" t="n">
        <x:v>1198</x:v>
      </x:c>
      <x:c r="M212" s="25" t="n">
        <x:v>535</x:v>
      </x:c>
      <x:c r="N212" s="25" t="n">
        <x:v>322</x:v>
      </x:c>
      <x:c r="O212" s="25" t="n">
        <x:v>300</x:v>
      </x:c>
      <x:c r="P212" s="25" t="n">
        <x:f>L212+N212</x:f>
        <x:v>1520</x:v>
      </x:c>
      <x:c r="Q212" s="25" t="n">
        <x:f>M212+O212</x:f>
        <x:v>835</x:v>
      </x:c>
      <x:c r="R212" s="25" t="n">
        <x:f>MAX(0,MIN(J212,P212)-MAX(F212,L212))</x:f>
        <x:v>322</x:v>
      </x:c>
      <x:c r="S212" s="25" t="n">
        <x:f>MAX(0,MIN(K212,Q212)-MAX(G212,M212))</x:f>
        <x:v>0</x:v>
      </x:c>
      <x:c r="T212" s="25" t="n">
        <x:f>R212*S212</x:f>
        <x:v>0</x:v>
      </x:c>
      <x:c r="U212" s="24" t="str">
        <x:f>IF(T212&gt;0,"ERREUR chevauchement","OK aucun chevauchement")</x:f>
        <x:v>OK aucun chevauchement</x:v>
      </x:c>
      <x:c r="V212" s="24" t="str">
        <x:v>OK aucun chevauchement</x:v>
      </x:c>
      <x:c r="W212" s="24" t="str">
        <x:v>Si ERREUR : déplacer/redimensionner l’objet B ou créer un bookmark/masquage</x:v>
      </x:c>
    </x:row>
    <x:row r="213">
      <x:c r="A213" s="24" t="str">
        <x:v>Réseau MIA</x:v>
      </x:c>
      <x:c r="B213" s="24" t="str">
        <x:v>G02_Toolbar</x:v>
      </x:c>
      <x:c r="C213" s="24" t="str">
        <x:v>Toolbar_Slicers_FieldParams</x:v>
      </x:c>
      <x:c r="D213" s="24" t="str">
        <x:v>G05_Right_Analytics</x:v>
      </x:c>
      <x:c r="E213" s="24" t="str">
        <x:v>Tableau_Compact</x:v>
      </x:c>
      <x:c r="F213" s="25" t="n">
        <x:v>20</x:v>
      </x:c>
      <x:c r="G213" s="25" t="n">
        <x:v>260</x:v>
      </x:c>
      <x:c r="H213" s="25" t="n">
        <x:v>1500</x:v>
      </x:c>
      <x:c r="I213" s="25" t="n">
        <x:v>56</x:v>
      </x:c>
      <x:c r="J213" s="25" t="n">
        <x:f>F213+H213</x:f>
        <x:v>1520</x:v>
      </x:c>
      <x:c r="K213" s="25" t="n">
        <x:f>G213+I213</x:f>
        <x:v>316</x:v>
      </x:c>
      <x:c r="L213" s="25" t="n">
        <x:v>866</x:v>
      </x:c>
      <x:c r="M213" s="25" t="n">
        <x:v>851</x:v>
      </x:c>
      <x:c r="N213" s="25" t="n">
        <x:v>654</x:v>
      </x:c>
      <x:c r="O213" s="25" t="n">
        <x:v>230</x:v>
      </x:c>
      <x:c r="P213" s="25" t="n">
        <x:f>L213+N213</x:f>
        <x:v>1520</x:v>
      </x:c>
      <x:c r="Q213" s="25" t="n">
        <x:f>M213+O213</x:f>
        <x:v>1081</x:v>
      </x:c>
      <x:c r="R213" s="25" t="n">
        <x:f>MAX(0,MIN(J213,P213)-MAX(F213,L213))</x:f>
        <x:v>654</x:v>
      </x:c>
      <x:c r="S213" s="25" t="n">
        <x:f>MAX(0,MIN(K213,Q213)-MAX(G213,M213))</x:f>
        <x:v>0</x:v>
      </x:c>
      <x:c r="T213" s="25" t="n">
        <x:f>R213*S213</x:f>
        <x:v>0</x:v>
      </x:c>
      <x:c r="U213" s="24" t="str">
        <x:f>IF(T213&gt;0,"ERREUR chevauchement","OK aucun chevauchement")</x:f>
        <x:v>OK aucun chevauchement</x:v>
      </x:c>
      <x:c r="V213" s="24" t="str">
        <x:v>OK aucun chevauchement</x:v>
      </x:c>
      <x:c r="W213" s="24" t="str">
        <x:v>Si ERREUR : déplacer/redimensionner l’objet B ou créer un bookmark/masquage</x:v>
      </x:c>
    </x:row>
    <x:row r="214">
      <x:c r="A214" s="24" t="str">
        <x:v>Réseau MIA</x:v>
      </x:c>
      <x:c r="B214" s="24" t="str">
        <x:v>G02_Toolbar</x:v>
      </x:c>
      <x:c r="C214" s="24" t="str">
        <x:v>Toolbar_Slicers_FieldParams</x:v>
      </x:c>
      <x:c r="D214" s="24" t="str">
        <x:v>G05_Right_Analytics</x:v>
      </x:c>
      <x:c r="E214" s="24" t="str">
        <x:v>Bar_MIA_Productifs</x:v>
      </x:c>
      <x:c r="F214" s="25" t="n">
        <x:v>20</x:v>
      </x:c>
      <x:c r="G214" s="25" t="n">
        <x:v>260</x:v>
      </x:c>
      <x:c r="H214" s="25" t="n">
        <x:v>1500</x:v>
      </x:c>
      <x:c r="I214" s="25" t="n">
        <x:v>56</x:v>
      </x:c>
      <x:c r="J214" s="25" t="n">
        <x:f>F214+H214</x:f>
        <x:v>1520</x:v>
      </x:c>
      <x:c r="K214" s="25" t="n">
        <x:f>G214+I214</x:f>
        <x:v>316</x:v>
      </x:c>
      <x:c r="L214" s="25" t="n">
        <x:v>866</x:v>
      </x:c>
      <x:c r="M214" s="25" t="n">
        <x:v>1097</x:v>
      </x:c>
      <x:c r="N214" s="25" t="n">
        <x:v>654</x:v>
      </x:c>
      <x:c r="O214" s="25" t="n">
        <x:v>300</x:v>
      </x:c>
      <x:c r="P214" s="25" t="n">
        <x:f>L214+N214</x:f>
        <x:v>1520</x:v>
      </x:c>
      <x:c r="Q214" s="25" t="n">
        <x:f>M214+O214</x:f>
        <x:v>1397</x:v>
      </x:c>
      <x:c r="R214" s="25" t="n">
        <x:f>MAX(0,MIN(J214,P214)-MAX(F214,L214))</x:f>
        <x:v>654</x:v>
      </x:c>
      <x:c r="S214" s="25" t="n">
        <x:f>MAX(0,MIN(K214,Q214)-MAX(G214,M214))</x:f>
        <x:v>0</x:v>
      </x:c>
      <x:c r="T214" s="25" t="n">
        <x:f>R214*S214</x:f>
        <x:v>0</x:v>
      </x:c>
      <x:c r="U214" s="24" t="str">
        <x:f>IF(T214&gt;0,"ERREUR chevauchement","OK aucun chevauchement")</x:f>
        <x:v>OK aucun chevauchement</x:v>
      </x:c>
      <x:c r="V214" s="24" t="str">
        <x:v>OK aucun chevauchement</x:v>
      </x:c>
      <x:c r="W214" s="24" t="str">
        <x:v>Si ERREUR : déplacer/redimensionner l’objet B ou créer un bookmark/masquage</x:v>
      </x:c>
    </x:row>
    <x:row r="215">
      <x:c r="A215" s="24" t="str">
        <x:v>Réseau MIA</x:v>
      </x:c>
      <x:c r="B215" s="24" t="str">
        <x:v>G03_KPI_Row</x:v>
      </x:c>
      <x:c r="C215" s="24" t="str">
        <x:v>KPI_Card_01</x:v>
      </x:c>
      <x:c r="D215" s="24" t="str">
        <x:v>G03_KPI_Row</x:v>
      </x:c>
      <x:c r="E215" s="24" t="str">
        <x:v>KPI_Card_02</x:v>
      </x:c>
      <x:c r="F215" s="25" t="n">
        <x:v>20</x:v>
      </x:c>
      <x:c r="G215" s="25" t="n">
        <x:v>330</x:v>
      </x:c>
      <x:c r="H215" s="25" t="n">
        <x:v>287</x:v>
      </x:c>
      <x:c r="I215" s="25" t="n">
        <x:v>180</x:v>
      </x:c>
      <x:c r="J215" s="25" t="n">
        <x:f>F215+H215</x:f>
        <x:v>307</x:v>
      </x:c>
      <x:c r="K215" s="25" t="n">
        <x:f>G215+I215</x:f>
        <x:v>510</x:v>
      </x:c>
      <x:c r="L215" s="25" t="n">
        <x:v>323</x:v>
      </x:c>
      <x:c r="M215" s="25" t="n">
        <x:v>330</x:v>
      </x:c>
      <x:c r="N215" s="25" t="n">
        <x:v>287</x:v>
      </x:c>
      <x:c r="O215" s="25" t="n">
        <x:v>180</x:v>
      </x:c>
      <x:c r="P215" s="25" t="n">
        <x:f>L215+N215</x:f>
        <x:v>610</x:v>
      </x:c>
      <x:c r="Q215" s="25" t="n">
        <x:f>M215+O215</x:f>
        <x:v>510</x:v>
      </x:c>
      <x:c r="R215" s="25" t="n">
        <x:f>MAX(0,MIN(J215,P215)-MAX(F215,L215))</x:f>
        <x:v>0</x:v>
      </x:c>
      <x:c r="S215" s="25" t="n">
        <x:f>MAX(0,MIN(K215,Q215)-MAX(G215,M215))</x:f>
        <x:v>180</x:v>
      </x:c>
      <x:c r="T215" s="25" t="n">
        <x:f>R215*S215</x:f>
        <x:v>0</x:v>
      </x:c>
      <x:c r="U215" s="24" t="str">
        <x:f>IF(T215&gt;0,"ERREUR chevauchement","OK aucun chevauchement")</x:f>
        <x:v>OK aucun chevauchement</x:v>
      </x:c>
      <x:c r="V215" s="24" t="str">
        <x:v>OK aucun chevauchement</x:v>
      </x:c>
      <x:c r="W215" s="24" t="str">
        <x:v>Si ERREUR : déplacer/redimensionner l’objet B ou créer un bookmark/masquage</x:v>
      </x:c>
    </x:row>
    <x:row r="216">
      <x:c r="A216" s="24" t="str">
        <x:v>Réseau MIA</x:v>
      </x:c>
      <x:c r="B216" s="24" t="str">
        <x:v>G03_KPI_Row</x:v>
      </x:c>
      <x:c r="C216" s="24" t="str">
        <x:v>KPI_Card_01</x:v>
      </x:c>
      <x:c r="D216" s="24" t="str">
        <x:v>G03_KPI_Row</x:v>
      </x:c>
      <x:c r="E216" s="24" t="str">
        <x:v>KPI_Card_03</x:v>
      </x:c>
      <x:c r="F216" s="25" t="n">
        <x:v>20</x:v>
      </x:c>
      <x:c r="G216" s="25" t="n">
        <x:v>330</x:v>
      </x:c>
      <x:c r="H216" s="25" t="n">
        <x:v>287</x:v>
      </x:c>
      <x:c r="I216" s="25" t="n">
        <x:v>180</x:v>
      </x:c>
      <x:c r="J216" s="25" t="n">
        <x:f>F216+H216</x:f>
        <x:v>307</x:v>
      </x:c>
      <x:c r="K216" s="25" t="n">
        <x:f>G216+I216</x:f>
        <x:v>510</x:v>
      </x:c>
      <x:c r="L216" s="25" t="n">
        <x:v>626</x:v>
      </x:c>
      <x:c r="M216" s="25" t="n">
        <x:v>330</x:v>
      </x:c>
      <x:c r="N216" s="25" t="n">
        <x:v>287</x:v>
      </x:c>
      <x:c r="O216" s="25" t="n">
        <x:v>180</x:v>
      </x:c>
      <x:c r="P216" s="25" t="n">
        <x:f>L216+N216</x:f>
        <x:v>913</x:v>
      </x:c>
      <x:c r="Q216" s="25" t="n">
        <x:f>M216+O216</x:f>
        <x:v>510</x:v>
      </x:c>
      <x:c r="R216" s="25" t="n">
        <x:f>MAX(0,MIN(J216,P216)-MAX(F216,L216))</x:f>
        <x:v>0</x:v>
      </x:c>
      <x:c r="S216" s="25" t="n">
        <x:f>MAX(0,MIN(K216,Q216)-MAX(G216,M216))</x:f>
        <x:v>180</x:v>
      </x:c>
      <x:c r="T216" s="25" t="n">
        <x:f>R216*S216</x:f>
        <x:v>0</x:v>
      </x:c>
      <x:c r="U216" s="24" t="str">
        <x:f>IF(T216&gt;0,"ERREUR chevauchement","OK aucun chevauchement")</x:f>
        <x:v>OK aucun chevauchement</x:v>
      </x:c>
      <x:c r="V216" s="24" t="str">
        <x:v>OK aucun chevauchement</x:v>
      </x:c>
      <x:c r="W216" s="24" t="str">
        <x:v>Si ERREUR : déplacer/redimensionner l’objet B ou créer un bookmark/masquage</x:v>
      </x:c>
    </x:row>
    <x:row r="217">
      <x:c r="A217" s="24" t="str">
        <x:v>Réseau MIA</x:v>
      </x:c>
      <x:c r="B217" s="24" t="str">
        <x:v>G03_KPI_Row</x:v>
      </x:c>
      <x:c r="C217" s="24" t="str">
        <x:v>KPI_Card_01</x:v>
      </x:c>
      <x:c r="D217" s="24" t="str">
        <x:v>G03_KPI_Row</x:v>
      </x:c>
      <x:c r="E217" s="24" t="str">
        <x:v>KPI_Card_04</x:v>
      </x:c>
      <x:c r="F217" s="25" t="n">
        <x:v>20</x:v>
      </x:c>
      <x:c r="G217" s="25" t="n">
        <x:v>330</x:v>
      </x:c>
      <x:c r="H217" s="25" t="n">
        <x:v>287</x:v>
      </x:c>
      <x:c r="I217" s="25" t="n">
        <x:v>180</x:v>
      </x:c>
      <x:c r="J217" s="25" t="n">
        <x:f>F217+H217</x:f>
        <x:v>307</x:v>
      </x:c>
      <x:c r="K217" s="25" t="n">
        <x:f>G217+I217</x:f>
        <x:v>510</x:v>
      </x:c>
      <x:c r="L217" s="25" t="n">
        <x:v>929</x:v>
      </x:c>
      <x:c r="M217" s="25" t="n">
        <x:v>330</x:v>
      </x:c>
      <x:c r="N217" s="25" t="n">
        <x:v>287</x:v>
      </x:c>
      <x:c r="O217" s="25" t="n">
        <x:v>180</x:v>
      </x:c>
      <x:c r="P217" s="25" t="n">
        <x:f>L217+N217</x:f>
        <x:v>1216</x:v>
      </x:c>
      <x:c r="Q217" s="25" t="n">
        <x:f>M217+O217</x:f>
        <x:v>510</x:v>
      </x:c>
      <x:c r="R217" s="25" t="n">
        <x:f>MAX(0,MIN(J217,P217)-MAX(F217,L217))</x:f>
        <x:v>0</x:v>
      </x:c>
      <x:c r="S217" s="25" t="n">
        <x:f>MAX(0,MIN(K217,Q217)-MAX(G217,M217))</x:f>
        <x:v>180</x:v>
      </x:c>
      <x:c r="T217" s="25" t="n">
        <x:f>R217*S217</x:f>
        <x:v>0</x:v>
      </x:c>
      <x:c r="U217" s="24" t="str">
        <x:f>IF(T217&gt;0,"ERREUR chevauchement","OK aucun chevauchement")</x:f>
        <x:v>OK aucun chevauchement</x:v>
      </x:c>
      <x:c r="V217" s="24" t="str">
        <x:v>OK aucun chevauchement</x:v>
      </x:c>
      <x:c r="W217" s="24" t="str">
        <x:v>Si ERREUR : déplacer/redimensionner l’objet B ou créer un bookmark/masquage</x:v>
      </x:c>
    </x:row>
    <x:row r="218">
      <x:c r="A218" s="24" t="str">
        <x:v>Réseau MIA</x:v>
      </x:c>
      <x:c r="B218" s="24" t="str">
        <x:v>G03_KPI_Row</x:v>
      </x:c>
      <x:c r="C218" s="24" t="str">
        <x:v>KPI_Card_01</x:v>
      </x:c>
      <x:c r="D218" s="24" t="str">
        <x:v>G03_KPI_Row</x:v>
      </x:c>
      <x:c r="E218" s="24" t="str">
        <x:v>KPI_Card_05</x:v>
      </x:c>
      <x:c r="F218" s="25" t="n">
        <x:v>20</x:v>
      </x:c>
      <x:c r="G218" s="25" t="n">
        <x:v>330</x:v>
      </x:c>
      <x:c r="H218" s="25" t="n">
        <x:v>287</x:v>
      </x:c>
      <x:c r="I218" s="25" t="n">
        <x:v>180</x:v>
      </x:c>
      <x:c r="J218" s="25" t="n">
        <x:f>F218+H218</x:f>
        <x:v>307</x:v>
      </x:c>
      <x:c r="K218" s="25" t="n">
        <x:f>G218+I218</x:f>
        <x:v>510</x:v>
      </x:c>
      <x:c r="L218" s="25" t="n">
        <x:v>1232</x:v>
      </x:c>
      <x:c r="M218" s="25" t="n">
        <x:v>330</x:v>
      </x:c>
      <x:c r="N218" s="25" t="n">
        <x:v>287</x:v>
      </x:c>
      <x:c r="O218" s="25" t="n">
        <x:v>180</x:v>
      </x:c>
      <x:c r="P218" s="25" t="n">
        <x:f>L218+N218</x:f>
        <x:v>1519</x:v>
      </x:c>
      <x:c r="Q218" s="25" t="n">
        <x:f>M218+O218</x:f>
        <x:v>510</x:v>
      </x:c>
      <x:c r="R218" s="25" t="n">
        <x:f>MAX(0,MIN(J218,P218)-MAX(F218,L218))</x:f>
        <x:v>0</x:v>
      </x:c>
      <x:c r="S218" s="25" t="n">
        <x:f>MAX(0,MIN(K218,Q218)-MAX(G218,M218))</x:f>
        <x:v>180</x:v>
      </x:c>
      <x:c r="T218" s="25" t="n">
        <x:f>R218*S218</x:f>
        <x:v>0</x:v>
      </x:c>
      <x:c r="U218" s="24" t="str">
        <x:f>IF(T218&gt;0,"ERREUR chevauchement","OK aucun chevauchement")</x:f>
        <x:v>OK aucun chevauchement</x:v>
      </x:c>
      <x:c r="V218" s="24" t="str">
        <x:v>OK aucun chevauchement</x:v>
      </x:c>
      <x:c r="W218" s="24" t="str">
        <x:v>Si ERREUR : déplacer/redimensionner l’objet B ou créer un bookmark/masquage</x:v>
      </x:c>
    </x:row>
    <x:row r="219">
      <x:c r="A219" s="24" t="str">
        <x:v>Réseau MIA</x:v>
      </x:c>
      <x:c r="B219" s="24" t="str">
        <x:v>G03_KPI_Row</x:v>
      </x:c>
      <x:c r="C219" s="24" t="str">
        <x:v>KPI_Card_01</x:v>
      </x:c>
      <x:c r="D219" s="24" t="str">
        <x:v>G04_Map_Main</x:v>
      </x:c>
      <x:c r="E219" s="24" t="str">
        <x:v>Map_Carte_France</x:v>
      </x:c>
      <x:c r="F219" s="25" t="n">
        <x:v>20</x:v>
      </x:c>
      <x:c r="G219" s="25" t="n">
        <x:v>330</x:v>
      </x:c>
      <x:c r="H219" s="25" t="n">
        <x:v>287</x:v>
      </x:c>
      <x:c r="I219" s="25" t="n">
        <x:v>180</x:v>
      </x:c>
      <x:c r="J219" s="25" t="n">
        <x:f>F219+H219</x:f>
        <x:v>307</x:v>
      </x:c>
      <x:c r="K219" s="25" t="n">
        <x:f>G219+I219</x:f>
        <x:v>510</x:v>
      </x:c>
      <x:c r="L219" s="25" t="n">
        <x:v>20</x:v>
      </x:c>
      <x:c r="M219" s="25" t="n">
        <x:v>535</x:v>
      </x:c>
      <x:c r="N219" s="25" t="n">
        <x:v>830</x:v>
      </x:c>
      <x:c r="O219" s="25" t="n">
        <x:v>560</x:v>
      </x:c>
      <x:c r="P219" s="25" t="n">
        <x:f>L219+N219</x:f>
        <x:v>850</x:v>
      </x:c>
      <x:c r="Q219" s="25" t="n">
        <x:f>M219+O219</x:f>
        <x:v>1095</x:v>
      </x:c>
      <x:c r="R219" s="25" t="n">
        <x:f>MAX(0,MIN(J219,P219)-MAX(F219,L219))</x:f>
        <x:v>287</x:v>
      </x:c>
      <x:c r="S219" s="25" t="n">
        <x:f>MAX(0,MIN(K219,Q219)-MAX(G219,M219))</x:f>
        <x:v>0</x:v>
      </x:c>
      <x:c r="T219" s="25" t="n">
        <x:f>R219*S219</x:f>
        <x:v>0</x:v>
      </x:c>
      <x:c r="U219" s="24" t="str">
        <x:f>IF(T219&gt;0,"ERREUR chevauchement","OK aucun chevauchement")</x:f>
        <x:v>OK aucun chevauchement</x:v>
      </x:c>
      <x:c r="V219" s="24" t="str">
        <x:v>OK aucun chevauchement</x:v>
      </x:c>
      <x:c r="W219" s="24" t="str">
        <x:v>Si ERREUR : déplacer/redimensionner l’objet B ou créer un bookmark/masquage</x:v>
      </x:c>
    </x:row>
    <x:row r="220">
      <x:c r="A220" s="24" t="str">
        <x:v>Réseau MIA</x:v>
      </x:c>
      <x:c r="B220" s="24" t="str">
        <x:v>G03_KPI_Row</x:v>
      </x:c>
      <x:c r="C220" s="24" t="str">
        <x:v>KPI_Card_01</x:v>
      </x:c>
      <x:c r="D220" s="24" t="str">
        <x:v>G05_Right_Analytics</x:v>
      </x:c>
      <x:c r="E220" s="24" t="str">
        <x:v>Donut_CSP</x:v>
      </x:c>
      <x:c r="F220" s="25" t="n">
        <x:v>20</x:v>
      </x:c>
      <x:c r="G220" s="25" t="n">
        <x:v>330</x:v>
      </x:c>
      <x:c r="H220" s="25" t="n">
        <x:v>287</x:v>
      </x:c>
      <x:c r="I220" s="25" t="n">
        <x:v>180</x:v>
      </x:c>
      <x:c r="J220" s="25" t="n">
        <x:f>F220+H220</x:f>
        <x:v>307</x:v>
      </x:c>
      <x:c r="K220" s="25" t="n">
        <x:f>G220+I220</x:f>
        <x:v>510</x:v>
      </x:c>
      <x:c r="L220" s="25" t="n">
        <x:v>866</x:v>
      </x:c>
      <x:c r="M220" s="25" t="n">
        <x:v>535</x:v>
      </x:c>
      <x:c r="N220" s="25" t="n">
        <x:v>316</x:v>
      </x:c>
      <x:c r="O220" s="25" t="n">
        <x:v>300</x:v>
      </x:c>
      <x:c r="P220" s="25" t="n">
        <x:f>L220+N220</x:f>
        <x:v>1182</x:v>
      </x:c>
      <x:c r="Q220" s="25" t="n">
        <x:f>M220+O220</x:f>
        <x:v>835</x:v>
      </x:c>
      <x:c r="R220" s="25" t="n">
        <x:f>MAX(0,MIN(J220,P220)-MAX(F220,L220))</x:f>
        <x:v>0</x:v>
      </x:c>
      <x:c r="S220" s="25" t="n">
        <x:f>MAX(0,MIN(K220,Q220)-MAX(G220,M220))</x:f>
        <x:v>0</x:v>
      </x:c>
      <x:c r="T220" s="25" t="n">
        <x:f>R220*S220</x:f>
        <x:v>0</x:v>
      </x:c>
      <x:c r="U220" s="24" t="str">
        <x:f>IF(T220&gt;0,"ERREUR chevauchement","OK aucun chevauchement")</x:f>
        <x:v>OK aucun chevauchement</x:v>
      </x:c>
      <x:c r="V220" s="24" t="str">
        <x:v>OK aucun chevauchement</x:v>
      </x:c>
      <x:c r="W220" s="24" t="str">
        <x:v>Si ERREUR : déplacer/redimensionner l’objet B ou créer un bookmark/masquage</x:v>
      </x:c>
    </x:row>
    <x:row r="221">
      <x:c r="A221" s="24" t="str">
        <x:v>Réseau MIA</x:v>
      </x:c>
      <x:c r="B221" s="24" t="str">
        <x:v>G03_KPI_Row</x:v>
      </x:c>
      <x:c r="C221" s="24" t="str">
        <x:v>KPI_Card_01</x:v>
      </x:c>
      <x:c r="D221" s="24" t="str">
        <x:v>G05_Right_Analytics</x:v>
      </x:c>
      <x:c r="E221" s="24" t="str">
        <x:v>Donut_MIA</x:v>
      </x:c>
      <x:c r="F221" s="25" t="n">
        <x:v>20</x:v>
      </x:c>
      <x:c r="G221" s="25" t="n">
        <x:v>330</x:v>
      </x:c>
      <x:c r="H221" s="25" t="n">
        <x:v>287</x:v>
      </x:c>
      <x:c r="I221" s="25" t="n">
        <x:v>180</x:v>
      </x:c>
      <x:c r="J221" s="25" t="n">
        <x:f>F221+H221</x:f>
        <x:v>307</x:v>
      </x:c>
      <x:c r="K221" s="25" t="n">
        <x:f>G221+I221</x:f>
        <x:v>510</x:v>
      </x:c>
      <x:c r="L221" s="25" t="n">
        <x:v>1198</x:v>
      </x:c>
      <x:c r="M221" s="25" t="n">
        <x:v>535</x:v>
      </x:c>
      <x:c r="N221" s="25" t="n">
        <x:v>322</x:v>
      </x:c>
      <x:c r="O221" s="25" t="n">
        <x:v>300</x:v>
      </x:c>
      <x:c r="P221" s="25" t="n">
        <x:f>L221+N221</x:f>
        <x:v>1520</x:v>
      </x:c>
      <x:c r="Q221" s="25" t="n">
        <x:f>M221+O221</x:f>
        <x:v>835</x:v>
      </x:c>
      <x:c r="R221" s="25" t="n">
        <x:f>MAX(0,MIN(J221,P221)-MAX(F221,L221))</x:f>
        <x:v>0</x:v>
      </x:c>
      <x:c r="S221" s="25" t="n">
        <x:f>MAX(0,MIN(K221,Q221)-MAX(G221,M221))</x:f>
        <x:v>0</x:v>
      </x:c>
      <x:c r="T221" s="25" t="n">
        <x:f>R221*S221</x:f>
        <x:v>0</x:v>
      </x:c>
      <x:c r="U221" s="24" t="str">
        <x:f>IF(T221&gt;0,"ERREUR chevauchement","OK aucun chevauchement")</x:f>
        <x:v>OK aucun chevauchement</x:v>
      </x:c>
      <x:c r="V221" s="24" t="str">
        <x:v>OK aucun chevauchement</x:v>
      </x:c>
      <x:c r="W221" s="24" t="str">
        <x:v>Si ERREUR : déplacer/redimensionner l’objet B ou créer un bookmark/masquage</x:v>
      </x:c>
    </x:row>
    <x:row r="222">
      <x:c r="A222" s="24" t="str">
        <x:v>Réseau MIA</x:v>
      </x:c>
      <x:c r="B222" s="24" t="str">
        <x:v>G03_KPI_Row</x:v>
      </x:c>
      <x:c r="C222" s="24" t="str">
        <x:v>KPI_Card_01</x:v>
      </x:c>
      <x:c r="D222" s="24" t="str">
        <x:v>G05_Right_Analytics</x:v>
      </x:c>
      <x:c r="E222" s="24" t="str">
        <x:v>Tableau_Compact</x:v>
      </x:c>
      <x:c r="F222" s="25" t="n">
        <x:v>20</x:v>
      </x:c>
      <x:c r="G222" s="25" t="n">
        <x:v>330</x:v>
      </x:c>
      <x:c r="H222" s="25" t="n">
        <x:v>287</x:v>
      </x:c>
      <x:c r="I222" s="25" t="n">
        <x:v>180</x:v>
      </x:c>
      <x:c r="J222" s="25" t="n">
        <x:f>F222+H222</x:f>
        <x:v>307</x:v>
      </x:c>
      <x:c r="K222" s="25" t="n">
        <x:f>G222+I222</x:f>
        <x:v>510</x:v>
      </x:c>
      <x:c r="L222" s="25" t="n">
        <x:v>866</x:v>
      </x:c>
      <x:c r="M222" s="25" t="n">
        <x:v>851</x:v>
      </x:c>
      <x:c r="N222" s="25" t="n">
        <x:v>654</x:v>
      </x:c>
      <x:c r="O222" s="25" t="n">
        <x:v>230</x:v>
      </x:c>
      <x:c r="P222" s="25" t="n">
        <x:f>L222+N222</x:f>
        <x:v>1520</x:v>
      </x:c>
      <x:c r="Q222" s="25" t="n">
        <x:f>M222+O222</x:f>
        <x:v>1081</x:v>
      </x:c>
      <x:c r="R222" s="25" t="n">
        <x:f>MAX(0,MIN(J222,P222)-MAX(F222,L222))</x:f>
        <x:v>0</x:v>
      </x:c>
      <x:c r="S222" s="25" t="n">
        <x:f>MAX(0,MIN(K222,Q222)-MAX(G222,M222))</x:f>
        <x:v>0</x:v>
      </x:c>
      <x:c r="T222" s="25" t="n">
        <x:f>R222*S222</x:f>
        <x:v>0</x:v>
      </x:c>
      <x:c r="U222" s="24" t="str">
        <x:f>IF(T222&gt;0,"ERREUR chevauchement","OK aucun chevauchement")</x:f>
        <x:v>OK aucun chevauchement</x:v>
      </x:c>
      <x:c r="V222" s="24" t="str">
        <x:v>OK aucun chevauchement</x:v>
      </x:c>
      <x:c r="W222" s="24" t="str">
        <x:v>Si ERREUR : déplacer/redimensionner l’objet B ou créer un bookmark/masquage</x:v>
      </x:c>
    </x:row>
    <x:row r="223">
      <x:c r="A223" s="24" t="str">
        <x:v>Réseau MIA</x:v>
      </x:c>
      <x:c r="B223" s="24" t="str">
        <x:v>G03_KPI_Row</x:v>
      </x:c>
      <x:c r="C223" s="24" t="str">
        <x:v>KPI_Card_01</x:v>
      </x:c>
      <x:c r="D223" s="24" t="str">
        <x:v>G05_Right_Analytics</x:v>
      </x:c>
      <x:c r="E223" s="24" t="str">
        <x:v>Bar_MIA_Productifs</x:v>
      </x:c>
      <x:c r="F223" s="25" t="n">
        <x:v>20</x:v>
      </x:c>
      <x:c r="G223" s="25" t="n">
        <x:v>330</x:v>
      </x:c>
      <x:c r="H223" s="25" t="n">
        <x:v>287</x:v>
      </x:c>
      <x:c r="I223" s="25" t="n">
        <x:v>180</x:v>
      </x:c>
      <x:c r="J223" s="25" t="n">
        <x:f>F223+H223</x:f>
        <x:v>307</x:v>
      </x:c>
      <x:c r="K223" s="25" t="n">
        <x:f>G223+I223</x:f>
        <x:v>510</x:v>
      </x:c>
      <x:c r="L223" s="25" t="n">
        <x:v>866</x:v>
      </x:c>
      <x:c r="M223" s="25" t="n">
        <x:v>1097</x:v>
      </x:c>
      <x:c r="N223" s="25" t="n">
        <x:v>654</x:v>
      </x:c>
      <x:c r="O223" s="25" t="n">
        <x:v>300</x:v>
      </x:c>
      <x:c r="P223" s="25" t="n">
        <x:f>L223+N223</x:f>
        <x:v>1520</x:v>
      </x:c>
      <x:c r="Q223" s="25" t="n">
        <x:f>M223+O223</x:f>
        <x:v>1397</x:v>
      </x:c>
      <x:c r="R223" s="25" t="n">
        <x:f>MAX(0,MIN(J223,P223)-MAX(F223,L223))</x:f>
        <x:v>0</x:v>
      </x:c>
      <x:c r="S223" s="25" t="n">
        <x:f>MAX(0,MIN(K223,Q223)-MAX(G223,M223))</x:f>
        <x:v>0</x:v>
      </x:c>
      <x:c r="T223" s="25" t="n">
        <x:f>R223*S223</x:f>
        <x:v>0</x:v>
      </x:c>
      <x:c r="U223" s="24" t="str">
        <x:f>IF(T223&gt;0,"ERREUR chevauchement","OK aucun chevauchement")</x:f>
        <x:v>OK aucun chevauchement</x:v>
      </x:c>
      <x:c r="V223" s="24" t="str">
        <x:v>OK aucun chevauchement</x:v>
      </x:c>
      <x:c r="W223" s="24" t="str">
        <x:v>Si ERREUR : déplacer/redimensionner l’objet B ou créer un bookmark/masquage</x:v>
      </x:c>
    </x:row>
    <x:row r="224">
      <x:c r="A224" s="24" t="str">
        <x:v>Réseau MIA</x:v>
      </x:c>
      <x:c r="B224" s="24" t="str">
        <x:v>G03_KPI_Row</x:v>
      </x:c>
      <x:c r="C224" s="24" t="str">
        <x:v>KPI_Card_02</x:v>
      </x:c>
      <x:c r="D224" s="24" t="str">
        <x:v>G03_KPI_Row</x:v>
      </x:c>
      <x:c r="E224" s="24" t="str">
        <x:v>KPI_Card_03</x:v>
      </x:c>
      <x:c r="F224" s="25" t="n">
        <x:v>323</x:v>
      </x:c>
      <x:c r="G224" s="25" t="n">
        <x:v>330</x:v>
      </x:c>
      <x:c r="H224" s="25" t="n">
        <x:v>287</x:v>
      </x:c>
      <x:c r="I224" s="25" t="n">
        <x:v>180</x:v>
      </x:c>
      <x:c r="J224" s="25" t="n">
        <x:f>F224+H224</x:f>
        <x:v>610</x:v>
      </x:c>
      <x:c r="K224" s="25" t="n">
        <x:f>G224+I224</x:f>
        <x:v>510</x:v>
      </x:c>
      <x:c r="L224" s="25" t="n">
        <x:v>626</x:v>
      </x:c>
      <x:c r="M224" s="25" t="n">
        <x:v>330</x:v>
      </x:c>
      <x:c r="N224" s="25" t="n">
        <x:v>287</x:v>
      </x:c>
      <x:c r="O224" s="25" t="n">
        <x:v>180</x:v>
      </x:c>
      <x:c r="P224" s="25" t="n">
        <x:f>L224+N224</x:f>
        <x:v>913</x:v>
      </x:c>
      <x:c r="Q224" s="25" t="n">
        <x:f>M224+O224</x:f>
        <x:v>510</x:v>
      </x:c>
      <x:c r="R224" s="25" t="n">
        <x:f>MAX(0,MIN(J224,P224)-MAX(F224,L224))</x:f>
        <x:v>0</x:v>
      </x:c>
      <x:c r="S224" s="25" t="n">
        <x:f>MAX(0,MIN(K224,Q224)-MAX(G224,M224))</x:f>
        <x:v>180</x:v>
      </x:c>
      <x:c r="T224" s="25" t="n">
        <x:f>R224*S224</x:f>
        <x:v>0</x:v>
      </x:c>
      <x:c r="U224" s="24" t="str">
        <x:f>IF(T224&gt;0,"ERREUR chevauchement","OK aucun chevauchement")</x:f>
        <x:v>OK aucun chevauchement</x:v>
      </x:c>
      <x:c r="V224" s="24" t="str">
        <x:v>OK aucun chevauchement</x:v>
      </x:c>
      <x:c r="W224" s="24" t="str">
        <x:v>Si ERREUR : déplacer/redimensionner l’objet B ou créer un bookmark/masquage</x:v>
      </x:c>
    </x:row>
    <x:row r="225">
      <x:c r="A225" s="24" t="str">
        <x:v>Réseau MIA</x:v>
      </x:c>
      <x:c r="B225" s="24" t="str">
        <x:v>G03_KPI_Row</x:v>
      </x:c>
      <x:c r="C225" s="24" t="str">
        <x:v>KPI_Card_02</x:v>
      </x:c>
      <x:c r="D225" s="24" t="str">
        <x:v>G03_KPI_Row</x:v>
      </x:c>
      <x:c r="E225" s="24" t="str">
        <x:v>KPI_Card_04</x:v>
      </x:c>
      <x:c r="F225" s="25" t="n">
        <x:v>323</x:v>
      </x:c>
      <x:c r="G225" s="25" t="n">
        <x:v>330</x:v>
      </x:c>
      <x:c r="H225" s="25" t="n">
        <x:v>287</x:v>
      </x:c>
      <x:c r="I225" s="25" t="n">
        <x:v>180</x:v>
      </x:c>
      <x:c r="J225" s="25" t="n">
        <x:f>F225+H225</x:f>
        <x:v>610</x:v>
      </x:c>
      <x:c r="K225" s="25" t="n">
        <x:f>G225+I225</x:f>
        <x:v>510</x:v>
      </x:c>
      <x:c r="L225" s="25" t="n">
        <x:v>929</x:v>
      </x:c>
      <x:c r="M225" s="25" t="n">
        <x:v>330</x:v>
      </x:c>
      <x:c r="N225" s="25" t="n">
        <x:v>287</x:v>
      </x:c>
      <x:c r="O225" s="25" t="n">
        <x:v>180</x:v>
      </x:c>
      <x:c r="P225" s="25" t="n">
        <x:f>L225+N225</x:f>
        <x:v>1216</x:v>
      </x:c>
      <x:c r="Q225" s="25" t="n">
        <x:f>M225+O225</x:f>
        <x:v>510</x:v>
      </x:c>
      <x:c r="R225" s="25" t="n">
        <x:f>MAX(0,MIN(J225,P225)-MAX(F225,L225))</x:f>
        <x:v>0</x:v>
      </x:c>
      <x:c r="S225" s="25" t="n">
        <x:f>MAX(0,MIN(K225,Q225)-MAX(G225,M225))</x:f>
        <x:v>180</x:v>
      </x:c>
      <x:c r="T225" s="25" t="n">
        <x:f>R225*S225</x:f>
        <x:v>0</x:v>
      </x:c>
      <x:c r="U225" s="24" t="str">
        <x:f>IF(T225&gt;0,"ERREUR chevauchement","OK aucun chevauchement")</x:f>
        <x:v>OK aucun chevauchement</x:v>
      </x:c>
      <x:c r="V225" s="24" t="str">
        <x:v>OK aucun chevauchement</x:v>
      </x:c>
      <x:c r="W225" s="24" t="str">
        <x:v>Si ERREUR : déplacer/redimensionner l’objet B ou créer un bookmark/masquage</x:v>
      </x:c>
    </x:row>
    <x:row r="226">
      <x:c r="A226" s="24" t="str">
        <x:v>Réseau MIA</x:v>
      </x:c>
      <x:c r="B226" s="24" t="str">
        <x:v>G03_KPI_Row</x:v>
      </x:c>
      <x:c r="C226" s="24" t="str">
        <x:v>KPI_Card_02</x:v>
      </x:c>
      <x:c r="D226" s="24" t="str">
        <x:v>G03_KPI_Row</x:v>
      </x:c>
      <x:c r="E226" s="24" t="str">
        <x:v>KPI_Card_05</x:v>
      </x:c>
      <x:c r="F226" s="25" t="n">
        <x:v>323</x:v>
      </x:c>
      <x:c r="G226" s="25" t="n">
        <x:v>330</x:v>
      </x:c>
      <x:c r="H226" s="25" t="n">
        <x:v>287</x:v>
      </x:c>
      <x:c r="I226" s="25" t="n">
        <x:v>180</x:v>
      </x:c>
      <x:c r="J226" s="25" t="n">
        <x:f>F226+H226</x:f>
        <x:v>610</x:v>
      </x:c>
      <x:c r="K226" s="25" t="n">
        <x:f>G226+I226</x:f>
        <x:v>510</x:v>
      </x:c>
      <x:c r="L226" s="25" t="n">
        <x:v>1232</x:v>
      </x:c>
      <x:c r="M226" s="25" t="n">
        <x:v>330</x:v>
      </x:c>
      <x:c r="N226" s="25" t="n">
        <x:v>287</x:v>
      </x:c>
      <x:c r="O226" s="25" t="n">
        <x:v>180</x:v>
      </x:c>
      <x:c r="P226" s="25" t="n">
        <x:f>L226+N226</x:f>
        <x:v>1519</x:v>
      </x:c>
      <x:c r="Q226" s="25" t="n">
        <x:f>M226+O226</x:f>
        <x:v>510</x:v>
      </x:c>
      <x:c r="R226" s="25" t="n">
        <x:f>MAX(0,MIN(J226,P226)-MAX(F226,L226))</x:f>
        <x:v>0</x:v>
      </x:c>
      <x:c r="S226" s="25" t="n">
        <x:f>MAX(0,MIN(K226,Q226)-MAX(G226,M226))</x:f>
        <x:v>180</x:v>
      </x:c>
      <x:c r="T226" s="25" t="n">
        <x:f>R226*S226</x:f>
        <x:v>0</x:v>
      </x:c>
      <x:c r="U226" s="24" t="str">
        <x:f>IF(T226&gt;0,"ERREUR chevauchement","OK aucun chevauchement")</x:f>
        <x:v>OK aucun chevauchement</x:v>
      </x:c>
      <x:c r="V226" s="24" t="str">
        <x:v>OK aucun chevauchement</x:v>
      </x:c>
      <x:c r="W226" s="24" t="str">
        <x:v>Si ERREUR : déplacer/redimensionner l’objet B ou créer un bookmark/masquage</x:v>
      </x:c>
    </x:row>
    <x:row r="227">
      <x:c r="A227" s="24" t="str">
        <x:v>Réseau MIA</x:v>
      </x:c>
      <x:c r="B227" s="24" t="str">
        <x:v>G03_KPI_Row</x:v>
      </x:c>
      <x:c r="C227" s="24" t="str">
        <x:v>KPI_Card_02</x:v>
      </x:c>
      <x:c r="D227" s="24" t="str">
        <x:v>G04_Map_Main</x:v>
      </x:c>
      <x:c r="E227" s="24" t="str">
        <x:v>Map_Carte_France</x:v>
      </x:c>
      <x:c r="F227" s="25" t="n">
        <x:v>323</x:v>
      </x:c>
      <x:c r="G227" s="25" t="n">
        <x:v>330</x:v>
      </x:c>
      <x:c r="H227" s="25" t="n">
        <x:v>287</x:v>
      </x:c>
      <x:c r="I227" s="25" t="n">
        <x:v>180</x:v>
      </x:c>
      <x:c r="J227" s="25" t="n">
        <x:f>F227+H227</x:f>
        <x:v>610</x:v>
      </x:c>
      <x:c r="K227" s="25" t="n">
        <x:f>G227+I227</x:f>
        <x:v>510</x:v>
      </x:c>
      <x:c r="L227" s="25" t="n">
        <x:v>20</x:v>
      </x:c>
      <x:c r="M227" s="25" t="n">
        <x:v>535</x:v>
      </x:c>
      <x:c r="N227" s="25" t="n">
        <x:v>830</x:v>
      </x:c>
      <x:c r="O227" s="25" t="n">
        <x:v>560</x:v>
      </x:c>
      <x:c r="P227" s="25" t="n">
        <x:f>L227+N227</x:f>
        <x:v>850</x:v>
      </x:c>
      <x:c r="Q227" s="25" t="n">
        <x:f>M227+O227</x:f>
        <x:v>1095</x:v>
      </x:c>
      <x:c r="R227" s="25" t="n">
        <x:f>MAX(0,MIN(J227,P227)-MAX(F227,L227))</x:f>
        <x:v>287</x:v>
      </x:c>
      <x:c r="S227" s="25" t="n">
        <x:f>MAX(0,MIN(K227,Q227)-MAX(G227,M227))</x:f>
        <x:v>0</x:v>
      </x:c>
      <x:c r="T227" s="25" t="n">
        <x:f>R227*S227</x:f>
        <x:v>0</x:v>
      </x:c>
      <x:c r="U227" s="24" t="str">
        <x:f>IF(T227&gt;0,"ERREUR chevauchement","OK aucun chevauchement")</x:f>
        <x:v>OK aucun chevauchement</x:v>
      </x:c>
      <x:c r="V227" s="24" t="str">
        <x:v>OK aucun chevauchement</x:v>
      </x:c>
      <x:c r="W227" s="24" t="str">
        <x:v>Si ERREUR : déplacer/redimensionner l’objet B ou créer un bookmark/masquage</x:v>
      </x:c>
    </x:row>
    <x:row r="228">
      <x:c r="A228" s="24" t="str">
        <x:v>Réseau MIA</x:v>
      </x:c>
      <x:c r="B228" s="24" t="str">
        <x:v>G03_KPI_Row</x:v>
      </x:c>
      <x:c r="C228" s="24" t="str">
        <x:v>KPI_Card_02</x:v>
      </x:c>
      <x:c r="D228" s="24" t="str">
        <x:v>G05_Right_Analytics</x:v>
      </x:c>
      <x:c r="E228" s="24" t="str">
        <x:v>Donut_CSP</x:v>
      </x:c>
      <x:c r="F228" s="25" t="n">
        <x:v>323</x:v>
      </x:c>
      <x:c r="G228" s="25" t="n">
        <x:v>330</x:v>
      </x:c>
      <x:c r="H228" s="25" t="n">
        <x:v>287</x:v>
      </x:c>
      <x:c r="I228" s="25" t="n">
        <x:v>180</x:v>
      </x:c>
      <x:c r="J228" s="25" t="n">
        <x:f>F228+H228</x:f>
        <x:v>610</x:v>
      </x:c>
      <x:c r="K228" s="25" t="n">
        <x:f>G228+I228</x:f>
        <x:v>510</x:v>
      </x:c>
      <x:c r="L228" s="25" t="n">
        <x:v>866</x:v>
      </x:c>
      <x:c r="M228" s="25" t="n">
        <x:v>535</x:v>
      </x:c>
      <x:c r="N228" s="25" t="n">
        <x:v>316</x:v>
      </x:c>
      <x:c r="O228" s="25" t="n">
        <x:v>300</x:v>
      </x:c>
      <x:c r="P228" s="25" t="n">
        <x:f>L228+N228</x:f>
        <x:v>1182</x:v>
      </x:c>
      <x:c r="Q228" s="25" t="n">
        <x:f>M228+O228</x:f>
        <x:v>835</x:v>
      </x:c>
      <x:c r="R228" s="25" t="n">
        <x:f>MAX(0,MIN(J228,P228)-MAX(F228,L228))</x:f>
        <x:v>0</x:v>
      </x:c>
      <x:c r="S228" s="25" t="n">
        <x:f>MAX(0,MIN(K228,Q228)-MAX(G228,M228))</x:f>
        <x:v>0</x:v>
      </x:c>
      <x:c r="T228" s="25" t="n">
        <x:f>R228*S228</x:f>
        <x:v>0</x:v>
      </x:c>
      <x:c r="U228" s="24" t="str">
        <x:f>IF(T228&gt;0,"ERREUR chevauchement","OK aucun chevauchement")</x:f>
        <x:v>OK aucun chevauchement</x:v>
      </x:c>
      <x:c r="V228" s="24" t="str">
        <x:v>OK aucun chevauchement</x:v>
      </x:c>
      <x:c r="W228" s="24" t="str">
        <x:v>Si ERREUR : déplacer/redimensionner l’objet B ou créer un bookmark/masquage</x:v>
      </x:c>
    </x:row>
    <x:row r="229">
      <x:c r="A229" s="24" t="str">
        <x:v>Réseau MIA</x:v>
      </x:c>
      <x:c r="B229" s="24" t="str">
        <x:v>G03_KPI_Row</x:v>
      </x:c>
      <x:c r="C229" s="24" t="str">
        <x:v>KPI_Card_02</x:v>
      </x:c>
      <x:c r="D229" s="24" t="str">
        <x:v>G05_Right_Analytics</x:v>
      </x:c>
      <x:c r="E229" s="24" t="str">
        <x:v>Donut_MIA</x:v>
      </x:c>
      <x:c r="F229" s="25" t="n">
        <x:v>323</x:v>
      </x:c>
      <x:c r="G229" s="25" t="n">
        <x:v>330</x:v>
      </x:c>
      <x:c r="H229" s="25" t="n">
        <x:v>287</x:v>
      </x:c>
      <x:c r="I229" s="25" t="n">
        <x:v>180</x:v>
      </x:c>
      <x:c r="J229" s="25" t="n">
        <x:f>F229+H229</x:f>
        <x:v>610</x:v>
      </x:c>
      <x:c r="K229" s="25" t="n">
        <x:f>G229+I229</x:f>
        <x:v>510</x:v>
      </x:c>
      <x:c r="L229" s="25" t="n">
        <x:v>1198</x:v>
      </x:c>
      <x:c r="M229" s="25" t="n">
        <x:v>535</x:v>
      </x:c>
      <x:c r="N229" s="25" t="n">
        <x:v>322</x:v>
      </x:c>
      <x:c r="O229" s="25" t="n">
        <x:v>300</x:v>
      </x:c>
      <x:c r="P229" s="25" t="n">
        <x:f>L229+N229</x:f>
        <x:v>1520</x:v>
      </x:c>
      <x:c r="Q229" s="25" t="n">
        <x:f>M229+O229</x:f>
        <x:v>835</x:v>
      </x:c>
      <x:c r="R229" s="25" t="n">
        <x:f>MAX(0,MIN(J229,P229)-MAX(F229,L229))</x:f>
        <x:v>0</x:v>
      </x:c>
      <x:c r="S229" s="25" t="n">
        <x:f>MAX(0,MIN(K229,Q229)-MAX(G229,M229))</x:f>
        <x:v>0</x:v>
      </x:c>
      <x:c r="T229" s="25" t="n">
        <x:f>R229*S229</x:f>
        <x:v>0</x:v>
      </x:c>
      <x:c r="U229" s="24" t="str">
        <x:f>IF(T229&gt;0,"ERREUR chevauchement","OK aucun chevauchement")</x:f>
        <x:v>OK aucun chevauchement</x:v>
      </x:c>
      <x:c r="V229" s="24" t="str">
        <x:v>OK aucun chevauchement</x:v>
      </x:c>
      <x:c r="W229" s="24" t="str">
        <x:v>Si ERREUR : déplacer/redimensionner l’objet B ou créer un bookmark/masquage</x:v>
      </x:c>
    </x:row>
    <x:row r="230">
      <x:c r="A230" s="24" t="str">
        <x:v>Réseau MIA</x:v>
      </x:c>
      <x:c r="B230" s="24" t="str">
        <x:v>G03_KPI_Row</x:v>
      </x:c>
      <x:c r="C230" s="24" t="str">
        <x:v>KPI_Card_02</x:v>
      </x:c>
      <x:c r="D230" s="24" t="str">
        <x:v>G05_Right_Analytics</x:v>
      </x:c>
      <x:c r="E230" s="24" t="str">
        <x:v>Tableau_Compact</x:v>
      </x:c>
      <x:c r="F230" s="25" t="n">
        <x:v>323</x:v>
      </x:c>
      <x:c r="G230" s="25" t="n">
        <x:v>330</x:v>
      </x:c>
      <x:c r="H230" s="25" t="n">
        <x:v>287</x:v>
      </x:c>
      <x:c r="I230" s="25" t="n">
        <x:v>180</x:v>
      </x:c>
      <x:c r="J230" s="25" t="n">
        <x:f>F230+H230</x:f>
        <x:v>610</x:v>
      </x:c>
      <x:c r="K230" s="25" t="n">
        <x:f>G230+I230</x:f>
        <x:v>510</x:v>
      </x:c>
      <x:c r="L230" s="25" t="n">
        <x:v>866</x:v>
      </x:c>
      <x:c r="M230" s="25" t="n">
        <x:v>851</x:v>
      </x:c>
      <x:c r="N230" s="25" t="n">
        <x:v>654</x:v>
      </x:c>
      <x:c r="O230" s="25" t="n">
        <x:v>230</x:v>
      </x:c>
      <x:c r="P230" s="25" t="n">
        <x:f>L230+N230</x:f>
        <x:v>1520</x:v>
      </x:c>
      <x:c r="Q230" s="25" t="n">
        <x:f>M230+O230</x:f>
        <x:v>1081</x:v>
      </x:c>
      <x:c r="R230" s="25" t="n">
        <x:f>MAX(0,MIN(J230,P230)-MAX(F230,L230))</x:f>
        <x:v>0</x:v>
      </x:c>
      <x:c r="S230" s="25" t="n">
        <x:f>MAX(0,MIN(K230,Q230)-MAX(G230,M230))</x:f>
        <x:v>0</x:v>
      </x:c>
      <x:c r="T230" s="25" t="n">
        <x:f>R230*S230</x:f>
        <x:v>0</x:v>
      </x:c>
      <x:c r="U230" s="24" t="str">
        <x:f>IF(T230&gt;0,"ERREUR chevauchement","OK aucun chevauchement")</x:f>
        <x:v>OK aucun chevauchement</x:v>
      </x:c>
      <x:c r="V230" s="24" t="str">
        <x:v>OK aucun chevauchement</x:v>
      </x:c>
      <x:c r="W230" s="24" t="str">
        <x:v>Si ERREUR : déplacer/redimensionner l’objet B ou créer un bookmark/masquage</x:v>
      </x:c>
    </x:row>
    <x:row r="231">
      <x:c r="A231" s="24" t="str">
        <x:v>Réseau MIA</x:v>
      </x:c>
      <x:c r="B231" s="24" t="str">
        <x:v>G03_KPI_Row</x:v>
      </x:c>
      <x:c r="C231" s="24" t="str">
        <x:v>KPI_Card_02</x:v>
      </x:c>
      <x:c r="D231" s="24" t="str">
        <x:v>G05_Right_Analytics</x:v>
      </x:c>
      <x:c r="E231" s="24" t="str">
        <x:v>Bar_MIA_Productifs</x:v>
      </x:c>
      <x:c r="F231" s="25" t="n">
        <x:v>323</x:v>
      </x:c>
      <x:c r="G231" s="25" t="n">
        <x:v>330</x:v>
      </x:c>
      <x:c r="H231" s="25" t="n">
        <x:v>287</x:v>
      </x:c>
      <x:c r="I231" s="25" t="n">
        <x:v>180</x:v>
      </x:c>
      <x:c r="J231" s="25" t="n">
        <x:f>F231+H231</x:f>
        <x:v>610</x:v>
      </x:c>
      <x:c r="K231" s="25" t="n">
        <x:f>G231+I231</x:f>
        <x:v>510</x:v>
      </x:c>
      <x:c r="L231" s="25" t="n">
        <x:v>866</x:v>
      </x:c>
      <x:c r="M231" s="25" t="n">
        <x:v>1097</x:v>
      </x:c>
      <x:c r="N231" s="25" t="n">
        <x:v>654</x:v>
      </x:c>
      <x:c r="O231" s="25" t="n">
        <x:v>300</x:v>
      </x:c>
      <x:c r="P231" s="25" t="n">
        <x:f>L231+N231</x:f>
        <x:v>1520</x:v>
      </x:c>
      <x:c r="Q231" s="25" t="n">
        <x:f>M231+O231</x:f>
        <x:v>1397</x:v>
      </x:c>
      <x:c r="R231" s="25" t="n">
        <x:f>MAX(0,MIN(J231,P231)-MAX(F231,L231))</x:f>
        <x:v>0</x:v>
      </x:c>
      <x:c r="S231" s="25" t="n">
        <x:f>MAX(0,MIN(K231,Q231)-MAX(G231,M231))</x:f>
        <x:v>0</x:v>
      </x:c>
      <x:c r="T231" s="25" t="n">
        <x:f>R231*S231</x:f>
        <x:v>0</x:v>
      </x:c>
      <x:c r="U231" s="24" t="str">
        <x:f>IF(T231&gt;0,"ERREUR chevauchement","OK aucun chevauchement")</x:f>
        <x:v>OK aucun chevauchement</x:v>
      </x:c>
      <x:c r="V231" s="24" t="str">
        <x:v>OK aucun chevauchement</x:v>
      </x:c>
      <x:c r="W231" s="24" t="str">
        <x:v>Si ERREUR : déplacer/redimensionner l’objet B ou créer un bookmark/masquage</x:v>
      </x:c>
    </x:row>
    <x:row r="232">
      <x:c r="A232" s="24" t="str">
        <x:v>Réseau MIA</x:v>
      </x:c>
      <x:c r="B232" s="24" t="str">
        <x:v>G03_KPI_Row</x:v>
      </x:c>
      <x:c r="C232" s="24" t="str">
        <x:v>KPI_Card_03</x:v>
      </x:c>
      <x:c r="D232" s="24" t="str">
        <x:v>G03_KPI_Row</x:v>
      </x:c>
      <x:c r="E232" s="24" t="str">
        <x:v>KPI_Card_04</x:v>
      </x:c>
      <x:c r="F232" s="25" t="n">
        <x:v>626</x:v>
      </x:c>
      <x:c r="G232" s="25" t="n">
        <x:v>330</x:v>
      </x:c>
      <x:c r="H232" s="25" t="n">
        <x:v>287</x:v>
      </x:c>
      <x:c r="I232" s="25" t="n">
        <x:v>180</x:v>
      </x:c>
      <x:c r="J232" s="25" t="n">
        <x:f>F232+H232</x:f>
        <x:v>913</x:v>
      </x:c>
      <x:c r="K232" s="25" t="n">
        <x:f>G232+I232</x:f>
        <x:v>510</x:v>
      </x:c>
      <x:c r="L232" s="25" t="n">
        <x:v>929</x:v>
      </x:c>
      <x:c r="M232" s="25" t="n">
        <x:v>330</x:v>
      </x:c>
      <x:c r="N232" s="25" t="n">
        <x:v>287</x:v>
      </x:c>
      <x:c r="O232" s="25" t="n">
        <x:v>180</x:v>
      </x:c>
      <x:c r="P232" s="25" t="n">
        <x:f>L232+N232</x:f>
        <x:v>1216</x:v>
      </x:c>
      <x:c r="Q232" s="25" t="n">
        <x:f>M232+O232</x:f>
        <x:v>510</x:v>
      </x:c>
      <x:c r="R232" s="25" t="n">
        <x:f>MAX(0,MIN(J232,P232)-MAX(F232,L232))</x:f>
        <x:v>0</x:v>
      </x:c>
      <x:c r="S232" s="25" t="n">
        <x:f>MAX(0,MIN(K232,Q232)-MAX(G232,M232))</x:f>
        <x:v>180</x:v>
      </x:c>
      <x:c r="T232" s="25" t="n">
        <x:f>R232*S232</x:f>
        <x:v>0</x:v>
      </x:c>
      <x:c r="U232" s="24" t="str">
        <x:f>IF(T232&gt;0,"ERREUR chevauchement","OK aucun chevauchement")</x:f>
        <x:v>OK aucun chevauchement</x:v>
      </x:c>
      <x:c r="V232" s="24" t="str">
        <x:v>OK aucun chevauchement</x:v>
      </x:c>
      <x:c r="W232" s="24" t="str">
        <x:v>Si ERREUR : déplacer/redimensionner l’objet B ou créer un bookmark/masquage</x:v>
      </x:c>
    </x:row>
    <x:row r="233">
      <x:c r="A233" s="24" t="str">
        <x:v>Réseau MIA</x:v>
      </x:c>
      <x:c r="B233" s="24" t="str">
        <x:v>G03_KPI_Row</x:v>
      </x:c>
      <x:c r="C233" s="24" t="str">
        <x:v>KPI_Card_03</x:v>
      </x:c>
      <x:c r="D233" s="24" t="str">
        <x:v>G03_KPI_Row</x:v>
      </x:c>
      <x:c r="E233" s="24" t="str">
        <x:v>KPI_Card_05</x:v>
      </x:c>
      <x:c r="F233" s="25" t="n">
        <x:v>626</x:v>
      </x:c>
      <x:c r="G233" s="25" t="n">
        <x:v>330</x:v>
      </x:c>
      <x:c r="H233" s="25" t="n">
        <x:v>287</x:v>
      </x:c>
      <x:c r="I233" s="25" t="n">
        <x:v>180</x:v>
      </x:c>
      <x:c r="J233" s="25" t="n">
        <x:f>F233+H233</x:f>
        <x:v>913</x:v>
      </x:c>
      <x:c r="K233" s="25" t="n">
        <x:f>G233+I233</x:f>
        <x:v>510</x:v>
      </x:c>
      <x:c r="L233" s="25" t="n">
        <x:v>1232</x:v>
      </x:c>
      <x:c r="M233" s="25" t="n">
        <x:v>330</x:v>
      </x:c>
      <x:c r="N233" s="25" t="n">
        <x:v>287</x:v>
      </x:c>
      <x:c r="O233" s="25" t="n">
        <x:v>180</x:v>
      </x:c>
      <x:c r="P233" s="25" t="n">
        <x:f>L233+N233</x:f>
        <x:v>1519</x:v>
      </x:c>
      <x:c r="Q233" s="25" t="n">
        <x:f>M233+O233</x:f>
        <x:v>510</x:v>
      </x:c>
      <x:c r="R233" s="25" t="n">
        <x:f>MAX(0,MIN(J233,P233)-MAX(F233,L233))</x:f>
        <x:v>0</x:v>
      </x:c>
      <x:c r="S233" s="25" t="n">
        <x:f>MAX(0,MIN(K233,Q233)-MAX(G233,M233))</x:f>
        <x:v>180</x:v>
      </x:c>
      <x:c r="T233" s="25" t="n">
        <x:f>R233*S233</x:f>
        <x:v>0</x:v>
      </x:c>
      <x:c r="U233" s="24" t="str">
        <x:f>IF(T233&gt;0,"ERREUR chevauchement","OK aucun chevauchement")</x:f>
        <x:v>OK aucun chevauchement</x:v>
      </x:c>
      <x:c r="V233" s="24" t="str">
        <x:v>OK aucun chevauchement</x:v>
      </x:c>
      <x:c r="W233" s="24" t="str">
        <x:v>Si ERREUR : déplacer/redimensionner l’objet B ou créer un bookmark/masquage</x:v>
      </x:c>
    </x:row>
    <x:row r="234">
      <x:c r="A234" s="24" t="str">
        <x:v>Réseau MIA</x:v>
      </x:c>
      <x:c r="B234" s="24" t="str">
        <x:v>G03_KPI_Row</x:v>
      </x:c>
      <x:c r="C234" s="24" t="str">
        <x:v>KPI_Card_03</x:v>
      </x:c>
      <x:c r="D234" s="24" t="str">
        <x:v>G04_Map_Main</x:v>
      </x:c>
      <x:c r="E234" s="24" t="str">
        <x:v>Map_Carte_France</x:v>
      </x:c>
      <x:c r="F234" s="25" t="n">
        <x:v>626</x:v>
      </x:c>
      <x:c r="G234" s="25" t="n">
        <x:v>330</x:v>
      </x:c>
      <x:c r="H234" s="25" t="n">
        <x:v>287</x:v>
      </x:c>
      <x:c r="I234" s="25" t="n">
        <x:v>180</x:v>
      </x:c>
      <x:c r="J234" s="25" t="n">
        <x:f>F234+H234</x:f>
        <x:v>913</x:v>
      </x:c>
      <x:c r="K234" s="25" t="n">
        <x:f>G234+I234</x:f>
        <x:v>510</x:v>
      </x:c>
      <x:c r="L234" s="25" t="n">
        <x:v>20</x:v>
      </x:c>
      <x:c r="M234" s="25" t="n">
        <x:v>535</x:v>
      </x:c>
      <x:c r="N234" s="25" t="n">
        <x:v>830</x:v>
      </x:c>
      <x:c r="O234" s="25" t="n">
        <x:v>560</x:v>
      </x:c>
      <x:c r="P234" s="25" t="n">
        <x:f>L234+N234</x:f>
        <x:v>850</x:v>
      </x:c>
      <x:c r="Q234" s="25" t="n">
        <x:f>M234+O234</x:f>
        <x:v>1095</x:v>
      </x:c>
      <x:c r="R234" s="25" t="n">
        <x:f>MAX(0,MIN(J234,P234)-MAX(F234,L234))</x:f>
        <x:v>224</x:v>
      </x:c>
      <x:c r="S234" s="25" t="n">
        <x:f>MAX(0,MIN(K234,Q234)-MAX(G234,M234))</x:f>
        <x:v>0</x:v>
      </x:c>
      <x:c r="T234" s="25" t="n">
        <x:f>R234*S234</x:f>
        <x:v>0</x:v>
      </x:c>
      <x:c r="U234" s="24" t="str">
        <x:f>IF(T234&gt;0,"ERREUR chevauchement","OK aucun chevauchement")</x:f>
        <x:v>OK aucun chevauchement</x:v>
      </x:c>
      <x:c r="V234" s="24" t="str">
        <x:v>OK aucun chevauchement</x:v>
      </x:c>
      <x:c r="W234" s="24" t="str">
        <x:v>Si ERREUR : déplacer/redimensionner l’objet B ou créer un bookmark/masquage</x:v>
      </x:c>
    </x:row>
    <x:row r="235">
      <x:c r="A235" s="24" t="str">
        <x:v>Réseau MIA</x:v>
      </x:c>
      <x:c r="B235" s="24" t="str">
        <x:v>G03_KPI_Row</x:v>
      </x:c>
      <x:c r="C235" s="24" t="str">
        <x:v>KPI_Card_03</x:v>
      </x:c>
      <x:c r="D235" s="24" t="str">
        <x:v>G05_Right_Analytics</x:v>
      </x:c>
      <x:c r="E235" s="24" t="str">
        <x:v>Donut_CSP</x:v>
      </x:c>
      <x:c r="F235" s="25" t="n">
        <x:v>626</x:v>
      </x:c>
      <x:c r="G235" s="25" t="n">
        <x:v>330</x:v>
      </x:c>
      <x:c r="H235" s="25" t="n">
        <x:v>287</x:v>
      </x:c>
      <x:c r="I235" s="25" t="n">
        <x:v>180</x:v>
      </x:c>
      <x:c r="J235" s="25" t="n">
        <x:f>F235+H235</x:f>
        <x:v>913</x:v>
      </x:c>
      <x:c r="K235" s="25" t="n">
        <x:f>G235+I235</x:f>
        <x:v>510</x:v>
      </x:c>
      <x:c r="L235" s="25" t="n">
        <x:v>866</x:v>
      </x:c>
      <x:c r="M235" s="25" t="n">
        <x:v>535</x:v>
      </x:c>
      <x:c r="N235" s="25" t="n">
        <x:v>316</x:v>
      </x:c>
      <x:c r="O235" s="25" t="n">
        <x:v>300</x:v>
      </x:c>
      <x:c r="P235" s="25" t="n">
        <x:f>L235+N235</x:f>
        <x:v>1182</x:v>
      </x:c>
      <x:c r="Q235" s="25" t="n">
        <x:f>M235+O235</x:f>
        <x:v>835</x:v>
      </x:c>
      <x:c r="R235" s="25" t="n">
        <x:f>MAX(0,MIN(J235,P235)-MAX(F235,L235))</x:f>
        <x:v>47</x:v>
      </x:c>
      <x:c r="S235" s="25" t="n">
        <x:f>MAX(0,MIN(K235,Q235)-MAX(G235,M235))</x:f>
        <x:v>0</x:v>
      </x:c>
      <x:c r="T235" s="25" t="n">
        <x:f>R235*S235</x:f>
        <x:v>0</x:v>
      </x:c>
      <x:c r="U235" s="24" t="str">
        <x:f>IF(T235&gt;0,"ERREUR chevauchement","OK aucun chevauchement")</x:f>
        <x:v>OK aucun chevauchement</x:v>
      </x:c>
      <x:c r="V235" s="24" t="str">
        <x:v>OK aucun chevauchement</x:v>
      </x:c>
      <x:c r="W235" s="24" t="str">
        <x:v>Si ERREUR : déplacer/redimensionner l’objet B ou créer un bookmark/masquage</x:v>
      </x:c>
    </x:row>
    <x:row r="236">
      <x:c r="A236" s="24" t="str">
        <x:v>Réseau MIA</x:v>
      </x:c>
      <x:c r="B236" s="24" t="str">
        <x:v>G03_KPI_Row</x:v>
      </x:c>
      <x:c r="C236" s="24" t="str">
        <x:v>KPI_Card_03</x:v>
      </x:c>
      <x:c r="D236" s="24" t="str">
        <x:v>G05_Right_Analytics</x:v>
      </x:c>
      <x:c r="E236" s="24" t="str">
        <x:v>Donut_MIA</x:v>
      </x:c>
      <x:c r="F236" s="25" t="n">
        <x:v>626</x:v>
      </x:c>
      <x:c r="G236" s="25" t="n">
        <x:v>330</x:v>
      </x:c>
      <x:c r="H236" s="25" t="n">
        <x:v>287</x:v>
      </x:c>
      <x:c r="I236" s="25" t="n">
        <x:v>180</x:v>
      </x:c>
      <x:c r="J236" s="25" t="n">
        <x:f>F236+H236</x:f>
        <x:v>913</x:v>
      </x:c>
      <x:c r="K236" s="25" t="n">
        <x:f>G236+I236</x:f>
        <x:v>510</x:v>
      </x:c>
      <x:c r="L236" s="25" t="n">
        <x:v>1198</x:v>
      </x:c>
      <x:c r="M236" s="25" t="n">
        <x:v>535</x:v>
      </x:c>
      <x:c r="N236" s="25" t="n">
        <x:v>322</x:v>
      </x:c>
      <x:c r="O236" s="25" t="n">
        <x:v>300</x:v>
      </x:c>
      <x:c r="P236" s="25" t="n">
        <x:f>L236+N236</x:f>
        <x:v>1520</x:v>
      </x:c>
      <x:c r="Q236" s="25" t="n">
        <x:f>M236+O236</x:f>
        <x:v>835</x:v>
      </x:c>
      <x:c r="R236" s="25" t="n">
        <x:f>MAX(0,MIN(J236,P236)-MAX(F236,L236))</x:f>
        <x:v>0</x:v>
      </x:c>
      <x:c r="S236" s="25" t="n">
        <x:f>MAX(0,MIN(K236,Q236)-MAX(G236,M236))</x:f>
        <x:v>0</x:v>
      </x:c>
      <x:c r="T236" s="25" t="n">
        <x:f>R236*S236</x:f>
        <x:v>0</x:v>
      </x:c>
      <x:c r="U236" s="24" t="str">
        <x:f>IF(T236&gt;0,"ERREUR chevauchement","OK aucun chevauchement")</x:f>
        <x:v>OK aucun chevauchement</x:v>
      </x:c>
      <x:c r="V236" s="24" t="str">
        <x:v>OK aucun chevauchement</x:v>
      </x:c>
      <x:c r="W236" s="24" t="str">
        <x:v>Si ERREUR : déplacer/redimensionner l’objet B ou créer un bookmark/masquage</x:v>
      </x:c>
    </x:row>
    <x:row r="237">
      <x:c r="A237" s="24" t="str">
        <x:v>Réseau MIA</x:v>
      </x:c>
      <x:c r="B237" s="24" t="str">
        <x:v>G03_KPI_Row</x:v>
      </x:c>
      <x:c r="C237" s="24" t="str">
        <x:v>KPI_Card_03</x:v>
      </x:c>
      <x:c r="D237" s="24" t="str">
        <x:v>G05_Right_Analytics</x:v>
      </x:c>
      <x:c r="E237" s="24" t="str">
        <x:v>Tableau_Compact</x:v>
      </x:c>
      <x:c r="F237" s="25" t="n">
        <x:v>626</x:v>
      </x:c>
      <x:c r="G237" s="25" t="n">
        <x:v>330</x:v>
      </x:c>
      <x:c r="H237" s="25" t="n">
        <x:v>287</x:v>
      </x:c>
      <x:c r="I237" s="25" t="n">
        <x:v>180</x:v>
      </x:c>
      <x:c r="J237" s="25" t="n">
        <x:f>F237+H237</x:f>
        <x:v>913</x:v>
      </x:c>
      <x:c r="K237" s="25" t="n">
        <x:f>G237+I237</x:f>
        <x:v>510</x:v>
      </x:c>
      <x:c r="L237" s="25" t="n">
        <x:v>866</x:v>
      </x:c>
      <x:c r="M237" s="25" t="n">
        <x:v>851</x:v>
      </x:c>
      <x:c r="N237" s="25" t="n">
        <x:v>654</x:v>
      </x:c>
      <x:c r="O237" s="25" t="n">
        <x:v>230</x:v>
      </x:c>
      <x:c r="P237" s="25" t="n">
        <x:f>L237+N237</x:f>
        <x:v>1520</x:v>
      </x:c>
      <x:c r="Q237" s="25" t="n">
        <x:f>M237+O237</x:f>
        <x:v>1081</x:v>
      </x:c>
      <x:c r="R237" s="25" t="n">
        <x:f>MAX(0,MIN(J237,P237)-MAX(F237,L237))</x:f>
        <x:v>47</x:v>
      </x:c>
      <x:c r="S237" s="25" t="n">
        <x:f>MAX(0,MIN(K237,Q237)-MAX(G237,M237))</x:f>
        <x:v>0</x:v>
      </x:c>
      <x:c r="T237" s="25" t="n">
        <x:f>R237*S237</x:f>
        <x:v>0</x:v>
      </x:c>
      <x:c r="U237" s="24" t="str">
        <x:f>IF(T237&gt;0,"ERREUR chevauchement","OK aucun chevauchement")</x:f>
        <x:v>OK aucun chevauchement</x:v>
      </x:c>
      <x:c r="V237" s="24" t="str">
        <x:v>OK aucun chevauchement</x:v>
      </x:c>
      <x:c r="W237" s="24" t="str">
        <x:v>Si ERREUR : déplacer/redimensionner l’objet B ou créer un bookmark/masquage</x:v>
      </x:c>
    </x:row>
    <x:row r="238">
      <x:c r="A238" s="24" t="str">
        <x:v>Réseau MIA</x:v>
      </x:c>
      <x:c r="B238" s="24" t="str">
        <x:v>G03_KPI_Row</x:v>
      </x:c>
      <x:c r="C238" s="24" t="str">
        <x:v>KPI_Card_03</x:v>
      </x:c>
      <x:c r="D238" s="24" t="str">
        <x:v>G05_Right_Analytics</x:v>
      </x:c>
      <x:c r="E238" s="24" t="str">
        <x:v>Bar_MIA_Productifs</x:v>
      </x:c>
      <x:c r="F238" s="25" t="n">
        <x:v>626</x:v>
      </x:c>
      <x:c r="G238" s="25" t="n">
        <x:v>330</x:v>
      </x:c>
      <x:c r="H238" s="25" t="n">
        <x:v>287</x:v>
      </x:c>
      <x:c r="I238" s="25" t="n">
        <x:v>180</x:v>
      </x:c>
      <x:c r="J238" s="25" t="n">
        <x:f>F238+H238</x:f>
        <x:v>913</x:v>
      </x:c>
      <x:c r="K238" s="25" t="n">
        <x:f>G238+I238</x:f>
        <x:v>510</x:v>
      </x:c>
      <x:c r="L238" s="25" t="n">
        <x:v>866</x:v>
      </x:c>
      <x:c r="M238" s="25" t="n">
        <x:v>1097</x:v>
      </x:c>
      <x:c r="N238" s="25" t="n">
        <x:v>654</x:v>
      </x:c>
      <x:c r="O238" s="25" t="n">
        <x:v>300</x:v>
      </x:c>
      <x:c r="P238" s="25" t="n">
        <x:f>L238+N238</x:f>
        <x:v>1520</x:v>
      </x:c>
      <x:c r="Q238" s="25" t="n">
        <x:f>M238+O238</x:f>
        <x:v>1397</x:v>
      </x:c>
      <x:c r="R238" s="25" t="n">
        <x:f>MAX(0,MIN(J238,P238)-MAX(F238,L238))</x:f>
        <x:v>47</x:v>
      </x:c>
      <x:c r="S238" s="25" t="n">
        <x:f>MAX(0,MIN(K238,Q238)-MAX(G238,M238))</x:f>
        <x:v>0</x:v>
      </x:c>
      <x:c r="T238" s="25" t="n">
        <x:f>R238*S238</x:f>
        <x:v>0</x:v>
      </x:c>
      <x:c r="U238" s="24" t="str">
        <x:f>IF(T238&gt;0,"ERREUR chevauchement","OK aucun chevauchement")</x:f>
        <x:v>OK aucun chevauchement</x:v>
      </x:c>
      <x:c r="V238" s="24" t="str">
        <x:v>OK aucun chevauchement</x:v>
      </x:c>
      <x:c r="W238" s="24" t="str">
        <x:v>Si ERREUR : déplacer/redimensionner l’objet B ou créer un bookmark/masquage</x:v>
      </x:c>
    </x:row>
    <x:row r="239">
      <x:c r="A239" s="24" t="str">
        <x:v>Réseau MIA</x:v>
      </x:c>
      <x:c r="B239" s="24" t="str">
        <x:v>G03_KPI_Row</x:v>
      </x:c>
      <x:c r="C239" s="24" t="str">
        <x:v>KPI_Card_04</x:v>
      </x:c>
      <x:c r="D239" s="24" t="str">
        <x:v>G03_KPI_Row</x:v>
      </x:c>
      <x:c r="E239" s="24" t="str">
        <x:v>KPI_Card_05</x:v>
      </x:c>
      <x:c r="F239" s="25" t="n">
        <x:v>929</x:v>
      </x:c>
      <x:c r="G239" s="25" t="n">
        <x:v>330</x:v>
      </x:c>
      <x:c r="H239" s="25" t="n">
        <x:v>287</x:v>
      </x:c>
      <x:c r="I239" s="25" t="n">
        <x:v>180</x:v>
      </x:c>
      <x:c r="J239" s="25" t="n">
        <x:f>F239+H239</x:f>
        <x:v>1216</x:v>
      </x:c>
      <x:c r="K239" s="25" t="n">
        <x:f>G239+I239</x:f>
        <x:v>510</x:v>
      </x:c>
      <x:c r="L239" s="25" t="n">
        <x:v>1232</x:v>
      </x:c>
      <x:c r="M239" s="25" t="n">
        <x:v>330</x:v>
      </x:c>
      <x:c r="N239" s="25" t="n">
        <x:v>287</x:v>
      </x:c>
      <x:c r="O239" s="25" t="n">
        <x:v>180</x:v>
      </x:c>
      <x:c r="P239" s="25" t="n">
        <x:f>L239+N239</x:f>
        <x:v>1519</x:v>
      </x:c>
      <x:c r="Q239" s="25" t="n">
        <x:f>M239+O239</x:f>
        <x:v>510</x:v>
      </x:c>
      <x:c r="R239" s="25" t="n">
        <x:f>MAX(0,MIN(J239,P239)-MAX(F239,L239))</x:f>
        <x:v>0</x:v>
      </x:c>
      <x:c r="S239" s="25" t="n">
        <x:f>MAX(0,MIN(K239,Q239)-MAX(G239,M239))</x:f>
        <x:v>180</x:v>
      </x:c>
      <x:c r="T239" s="25" t="n">
        <x:f>R239*S239</x:f>
        <x:v>0</x:v>
      </x:c>
      <x:c r="U239" s="24" t="str">
        <x:f>IF(T239&gt;0,"ERREUR chevauchement","OK aucun chevauchement")</x:f>
        <x:v>OK aucun chevauchement</x:v>
      </x:c>
      <x:c r="V239" s="24" t="str">
        <x:v>OK aucun chevauchement</x:v>
      </x:c>
      <x:c r="W239" s="24" t="str">
        <x:v>Si ERREUR : déplacer/redimensionner l’objet B ou créer un bookmark/masquage</x:v>
      </x:c>
    </x:row>
    <x:row r="240">
      <x:c r="A240" s="24" t="str">
        <x:v>Réseau MIA</x:v>
      </x:c>
      <x:c r="B240" s="24" t="str">
        <x:v>G03_KPI_Row</x:v>
      </x:c>
      <x:c r="C240" s="24" t="str">
        <x:v>KPI_Card_04</x:v>
      </x:c>
      <x:c r="D240" s="24" t="str">
        <x:v>G04_Map_Main</x:v>
      </x:c>
      <x:c r="E240" s="24" t="str">
        <x:v>Map_Carte_France</x:v>
      </x:c>
      <x:c r="F240" s="25" t="n">
        <x:v>929</x:v>
      </x:c>
      <x:c r="G240" s="25" t="n">
        <x:v>330</x:v>
      </x:c>
      <x:c r="H240" s="25" t="n">
        <x:v>287</x:v>
      </x:c>
      <x:c r="I240" s="25" t="n">
        <x:v>180</x:v>
      </x:c>
      <x:c r="J240" s="25" t="n">
        <x:f>F240+H240</x:f>
        <x:v>1216</x:v>
      </x:c>
      <x:c r="K240" s="25" t="n">
        <x:f>G240+I240</x:f>
        <x:v>510</x:v>
      </x:c>
      <x:c r="L240" s="25" t="n">
        <x:v>20</x:v>
      </x:c>
      <x:c r="M240" s="25" t="n">
        <x:v>535</x:v>
      </x:c>
      <x:c r="N240" s="25" t="n">
        <x:v>830</x:v>
      </x:c>
      <x:c r="O240" s="25" t="n">
        <x:v>560</x:v>
      </x:c>
      <x:c r="P240" s="25" t="n">
        <x:f>L240+N240</x:f>
        <x:v>850</x:v>
      </x:c>
      <x:c r="Q240" s="25" t="n">
        <x:f>M240+O240</x:f>
        <x:v>1095</x:v>
      </x:c>
      <x:c r="R240" s="25" t="n">
        <x:f>MAX(0,MIN(J240,P240)-MAX(F240,L240))</x:f>
        <x:v>0</x:v>
      </x:c>
      <x:c r="S240" s="25" t="n">
        <x:f>MAX(0,MIN(K240,Q240)-MAX(G240,M240))</x:f>
        <x:v>0</x:v>
      </x:c>
      <x:c r="T240" s="25" t="n">
        <x:f>R240*S240</x:f>
        <x:v>0</x:v>
      </x:c>
      <x:c r="U240" s="24" t="str">
        <x:f>IF(T240&gt;0,"ERREUR chevauchement","OK aucun chevauchement")</x:f>
        <x:v>OK aucun chevauchement</x:v>
      </x:c>
      <x:c r="V240" s="24" t="str">
        <x:v>OK aucun chevauchement</x:v>
      </x:c>
      <x:c r="W240" s="24" t="str">
        <x:v>Si ERREUR : déplacer/redimensionner l’objet B ou créer un bookmark/masquage</x:v>
      </x:c>
    </x:row>
    <x:row r="241">
      <x:c r="A241" s="24" t="str">
        <x:v>Réseau MIA</x:v>
      </x:c>
      <x:c r="B241" s="24" t="str">
        <x:v>G03_KPI_Row</x:v>
      </x:c>
      <x:c r="C241" s="24" t="str">
        <x:v>KPI_Card_04</x:v>
      </x:c>
      <x:c r="D241" s="24" t="str">
        <x:v>G05_Right_Analytics</x:v>
      </x:c>
      <x:c r="E241" s="24" t="str">
        <x:v>Donut_CSP</x:v>
      </x:c>
      <x:c r="F241" s="25" t="n">
        <x:v>929</x:v>
      </x:c>
      <x:c r="G241" s="25" t="n">
        <x:v>330</x:v>
      </x:c>
      <x:c r="H241" s="25" t="n">
        <x:v>287</x:v>
      </x:c>
      <x:c r="I241" s="25" t="n">
        <x:v>180</x:v>
      </x:c>
      <x:c r="J241" s="25" t="n">
        <x:f>F241+H241</x:f>
        <x:v>1216</x:v>
      </x:c>
      <x:c r="K241" s="25" t="n">
        <x:f>G241+I241</x:f>
        <x:v>510</x:v>
      </x:c>
      <x:c r="L241" s="25" t="n">
        <x:v>866</x:v>
      </x:c>
      <x:c r="M241" s="25" t="n">
        <x:v>535</x:v>
      </x:c>
      <x:c r="N241" s="25" t="n">
        <x:v>316</x:v>
      </x:c>
      <x:c r="O241" s="25" t="n">
        <x:v>300</x:v>
      </x:c>
      <x:c r="P241" s="25" t="n">
        <x:f>L241+N241</x:f>
        <x:v>1182</x:v>
      </x:c>
      <x:c r="Q241" s="25" t="n">
        <x:f>M241+O241</x:f>
        <x:v>835</x:v>
      </x:c>
      <x:c r="R241" s="25" t="n">
        <x:f>MAX(0,MIN(J241,P241)-MAX(F241,L241))</x:f>
        <x:v>253</x:v>
      </x:c>
      <x:c r="S241" s="25" t="n">
        <x:f>MAX(0,MIN(K241,Q241)-MAX(G241,M241))</x:f>
        <x:v>0</x:v>
      </x:c>
      <x:c r="T241" s="25" t="n">
        <x:f>R241*S241</x:f>
        <x:v>0</x:v>
      </x:c>
      <x:c r="U241" s="24" t="str">
        <x:f>IF(T241&gt;0,"ERREUR chevauchement","OK aucun chevauchement")</x:f>
        <x:v>OK aucun chevauchement</x:v>
      </x:c>
      <x:c r="V241" s="24" t="str">
        <x:v>OK aucun chevauchement</x:v>
      </x:c>
      <x:c r="W241" s="24" t="str">
        <x:v>Si ERREUR : déplacer/redimensionner l’objet B ou créer un bookmark/masquage</x:v>
      </x:c>
    </x:row>
    <x:row r="242">
      <x:c r="A242" s="24" t="str">
        <x:v>Réseau MIA</x:v>
      </x:c>
      <x:c r="B242" s="24" t="str">
        <x:v>G03_KPI_Row</x:v>
      </x:c>
      <x:c r="C242" s="24" t="str">
        <x:v>KPI_Card_04</x:v>
      </x:c>
      <x:c r="D242" s="24" t="str">
        <x:v>G05_Right_Analytics</x:v>
      </x:c>
      <x:c r="E242" s="24" t="str">
        <x:v>Donut_MIA</x:v>
      </x:c>
      <x:c r="F242" s="25" t="n">
        <x:v>929</x:v>
      </x:c>
      <x:c r="G242" s="25" t="n">
        <x:v>330</x:v>
      </x:c>
      <x:c r="H242" s="25" t="n">
        <x:v>287</x:v>
      </x:c>
      <x:c r="I242" s="25" t="n">
        <x:v>180</x:v>
      </x:c>
      <x:c r="J242" s="25" t="n">
        <x:f>F242+H242</x:f>
        <x:v>1216</x:v>
      </x:c>
      <x:c r="K242" s="25" t="n">
        <x:f>G242+I242</x:f>
        <x:v>510</x:v>
      </x:c>
      <x:c r="L242" s="25" t="n">
        <x:v>1198</x:v>
      </x:c>
      <x:c r="M242" s="25" t="n">
        <x:v>535</x:v>
      </x:c>
      <x:c r="N242" s="25" t="n">
        <x:v>322</x:v>
      </x:c>
      <x:c r="O242" s="25" t="n">
        <x:v>300</x:v>
      </x:c>
      <x:c r="P242" s="25" t="n">
        <x:f>L242+N242</x:f>
        <x:v>1520</x:v>
      </x:c>
      <x:c r="Q242" s="25" t="n">
        <x:f>M242+O242</x:f>
        <x:v>835</x:v>
      </x:c>
      <x:c r="R242" s="25" t="n">
        <x:f>MAX(0,MIN(J242,P242)-MAX(F242,L242))</x:f>
        <x:v>18</x:v>
      </x:c>
      <x:c r="S242" s="25" t="n">
        <x:f>MAX(0,MIN(K242,Q242)-MAX(G242,M242))</x:f>
        <x:v>0</x:v>
      </x:c>
      <x:c r="T242" s="25" t="n">
        <x:f>R242*S242</x:f>
        <x:v>0</x:v>
      </x:c>
      <x:c r="U242" s="24" t="str">
        <x:f>IF(T242&gt;0,"ERREUR chevauchement","OK aucun chevauchement")</x:f>
        <x:v>OK aucun chevauchement</x:v>
      </x:c>
      <x:c r="V242" s="24" t="str">
        <x:v>OK aucun chevauchement</x:v>
      </x:c>
      <x:c r="W242" s="24" t="str">
        <x:v>Si ERREUR : déplacer/redimensionner l’objet B ou créer un bookmark/masquage</x:v>
      </x:c>
    </x:row>
    <x:row r="243">
      <x:c r="A243" s="24" t="str">
        <x:v>Réseau MIA</x:v>
      </x:c>
      <x:c r="B243" s="24" t="str">
        <x:v>G03_KPI_Row</x:v>
      </x:c>
      <x:c r="C243" s="24" t="str">
        <x:v>KPI_Card_04</x:v>
      </x:c>
      <x:c r="D243" s="24" t="str">
        <x:v>G05_Right_Analytics</x:v>
      </x:c>
      <x:c r="E243" s="24" t="str">
        <x:v>Tableau_Compact</x:v>
      </x:c>
      <x:c r="F243" s="25" t="n">
        <x:v>929</x:v>
      </x:c>
      <x:c r="G243" s="25" t="n">
        <x:v>330</x:v>
      </x:c>
      <x:c r="H243" s="25" t="n">
        <x:v>287</x:v>
      </x:c>
      <x:c r="I243" s="25" t="n">
        <x:v>180</x:v>
      </x:c>
      <x:c r="J243" s="25" t="n">
        <x:f>F243+H243</x:f>
        <x:v>1216</x:v>
      </x:c>
      <x:c r="K243" s="25" t="n">
        <x:f>G243+I243</x:f>
        <x:v>510</x:v>
      </x:c>
      <x:c r="L243" s="25" t="n">
        <x:v>866</x:v>
      </x:c>
      <x:c r="M243" s="25" t="n">
        <x:v>851</x:v>
      </x:c>
      <x:c r="N243" s="25" t="n">
        <x:v>654</x:v>
      </x:c>
      <x:c r="O243" s="25" t="n">
        <x:v>230</x:v>
      </x:c>
      <x:c r="P243" s="25" t="n">
        <x:f>L243+N243</x:f>
        <x:v>1520</x:v>
      </x:c>
      <x:c r="Q243" s="25" t="n">
        <x:f>M243+O243</x:f>
        <x:v>1081</x:v>
      </x:c>
      <x:c r="R243" s="25" t="n">
        <x:f>MAX(0,MIN(J243,P243)-MAX(F243,L243))</x:f>
        <x:v>287</x:v>
      </x:c>
      <x:c r="S243" s="25" t="n">
        <x:f>MAX(0,MIN(K243,Q243)-MAX(G243,M243))</x:f>
        <x:v>0</x:v>
      </x:c>
      <x:c r="T243" s="25" t="n">
        <x:f>R243*S243</x:f>
        <x:v>0</x:v>
      </x:c>
      <x:c r="U243" s="24" t="str">
        <x:f>IF(T243&gt;0,"ERREUR chevauchement","OK aucun chevauchement")</x:f>
        <x:v>OK aucun chevauchement</x:v>
      </x:c>
      <x:c r="V243" s="24" t="str">
        <x:v>OK aucun chevauchement</x:v>
      </x:c>
      <x:c r="W243" s="24" t="str">
        <x:v>Si ERREUR : déplacer/redimensionner l’objet B ou créer un bookmark/masquage</x:v>
      </x:c>
    </x:row>
    <x:row r="244">
      <x:c r="A244" s="24" t="str">
        <x:v>Réseau MIA</x:v>
      </x:c>
      <x:c r="B244" s="24" t="str">
        <x:v>G03_KPI_Row</x:v>
      </x:c>
      <x:c r="C244" s="24" t="str">
        <x:v>KPI_Card_04</x:v>
      </x:c>
      <x:c r="D244" s="24" t="str">
        <x:v>G05_Right_Analytics</x:v>
      </x:c>
      <x:c r="E244" s="24" t="str">
        <x:v>Bar_MIA_Productifs</x:v>
      </x:c>
      <x:c r="F244" s="25" t="n">
        <x:v>929</x:v>
      </x:c>
      <x:c r="G244" s="25" t="n">
        <x:v>330</x:v>
      </x:c>
      <x:c r="H244" s="25" t="n">
        <x:v>287</x:v>
      </x:c>
      <x:c r="I244" s="25" t="n">
        <x:v>180</x:v>
      </x:c>
      <x:c r="J244" s="25" t="n">
        <x:f>F244+H244</x:f>
        <x:v>1216</x:v>
      </x:c>
      <x:c r="K244" s="25" t="n">
        <x:f>G244+I244</x:f>
        <x:v>510</x:v>
      </x:c>
      <x:c r="L244" s="25" t="n">
        <x:v>866</x:v>
      </x:c>
      <x:c r="M244" s="25" t="n">
        <x:v>1097</x:v>
      </x:c>
      <x:c r="N244" s="25" t="n">
        <x:v>654</x:v>
      </x:c>
      <x:c r="O244" s="25" t="n">
        <x:v>300</x:v>
      </x:c>
      <x:c r="P244" s="25" t="n">
        <x:f>L244+N244</x:f>
        <x:v>1520</x:v>
      </x:c>
      <x:c r="Q244" s="25" t="n">
        <x:f>M244+O244</x:f>
        <x:v>1397</x:v>
      </x:c>
      <x:c r="R244" s="25" t="n">
        <x:f>MAX(0,MIN(J244,P244)-MAX(F244,L244))</x:f>
        <x:v>287</x:v>
      </x:c>
      <x:c r="S244" s="25" t="n">
        <x:f>MAX(0,MIN(K244,Q244)-MAX(G244,M244))</x:f>
        <x:v>0</x:v>
      </x:c>
      <x:c r="T244" s="25" t="n">
        <x:f>R244*S244</x:f>
        <x:v>0</x:v>
      </x:c>
      <x:c r="U244" s="24" t="str">
        <x:f>IF(T244&gt;0,"ERREUR chevauchement","OK aucun chevauchement")</x:f>
        <x:v>OK aucun chevauchement</x:v>
      </x:c>
      <x:c r="V244" s="24" t="str">
        <x:v>OK aucun chevauchement</x:v>
      </x:c>
      <x:c r="W244" s="24" t="str">
        <x:v>Si ERREUR : déplacer/redimensionner l’objet B ou créer un bookmark/masquage</x:v>
      </x:c>
    </x:row>
    <x:row r="245">
      <x:c r="A245" s="24" t="str">
        <x:v>Réseau MIA</x:v>
      </x:c>
      <x:c r="B245" s="24" t="str">
        <x:v>G03_KPI_Row</x:v>
      </x:c>
      <x:c r="C245" s="24" t="str">
        <x:v>KPI_Card_05</x:v>
      </x:c>
      <x:c r="D245" s="24" t="str">
        <x:v>G04_Map_Main</x:v>
      </x:c>
      <x:c r="E245" s="24" t="str">
        <x:v>Map_Carte_France</x:v>
      </x:c>
      <x:c r="F245" s="25" t="n">
        <x:v>1232</x:v>
      </x:c>
      <x:c r="G245" s="25" t="n">
        <x:v>330</x:v>
      </x:c>
      <x:c r="H245" s="25" t="n">
        <x:v>287</x:v>
      </x:c>
      <x:c r="I245" s="25" t="n">
        <x:v>180</x:v>
      </x:c>
      <x:c r="J245" s="25" t="n">
        <x:f>F245+H245</x:f>
        <x:v>1519</x:v>
      </x:c>
      <x:c r="K245" s="25" t="n">
        <x:f>G245+I245</x:f>
        <x:v>510</x:v>
      </x:c>
      <x:c r="L245" s="25" t="n">
        <x:v>20</x:v>
      </x:c>
      <x:c r="M245" s="25" t="n">
        <x:v>535</x:v>
      </x:c>
      <x:c r="N245" s="25" t="n">
        <x:v>830</x:v>
      </x:c>
      <x:c r="O245" s="25" t="n">
        <x:v>560</x:v>
      </x:c>
      <x:c r="P245" s="25" t="n">
        <x:f>L245+N245</x:f>
        <x:v>850</x:v>
      </x:c>
      <x:c r="Q245" s="25" t="n">
        <x:f>M245+O245</x:f>
        <x:v>1095</x:v>
      </x:c>
      <x:c r="R245" s="25" t="n">
        <x:f>MAX(0,MIN(J245,P245)-MAX(F245,L245))</x:f>
        <x:v>0</x:v>
      </x:c>
      <x:c r="S245" s="25" t="n">
        <x:f>MAX(0,MIN(K245,Q245)-MAX(G245,M245))</x:f>
        <x:v>0</x:v>
      </x:c>
      <x:c r="T245" s="25" t="n">
        <x:f>R245*S245</x:f>
        <x:v>0</x:v>
      </x:c>
      <x:c r="U245" s="24" t="str">
        <x:f>IF(T245&gt;0,"ERREUR chevauchement","OK aucun chevauchement")</x:f>
        <x:v>OK aucun chevauchement</x:v>
      </x:c>
      <x:c r="V245" s="24" t="str">
        <x:v>OK aucun chevauchement</x:v>
      </x:c>
      <x:c r="W245" s="24" t="str">
        <x:v>Si ERREUR : déplacer/redimensionner l’objet B ou créer un bookmark/masquage</x:v>
      </x:c>
    </x:row>
    <x:row r="246">
      <x:c r="A246" s="24" t="str">
        <x:v>Réseau MIA</x:v>
      </x:c>
      <x:c r="B246" s="24" t="str">
        <x:v>G03_KPI_Row</x:v>
      </x:c>
      <x:c r="C246" s="24" t="str">
        <x:v>KPI_Card_05</x:v>
      </x:c>
      <x:c r="D246" s="24" t="str">
        <x:v>G05_Right_Analytics</x:v>
      </x:c>
      <x:c r="E246" s="24" t="str">
        <x:v>Donut_CSP</x:v>
      </x:c>
      <x:c r="F246" s="25" t="n">
        <x:v>1232</x:v>
      </x:c>
      <x:c r="G246" s="25" t="n">
        <x:v>330</x:v>
      </x:c>
      <x:c r="H246" s="25" t="n">
        <x:v>287</x:v>
      </x:c>
      <x:c r="I246" s="25" t="n">
        <x:v>180</x:v>
      </x:c>
      <x:c r="J246" s="25" t="n">
        <x:f>F246+H246</x:f>
        <x:v>1519</x:v>
      </x:c>
      <x:c r="K246" s="25" t="n">
        <x:f>G246+I246</x:f>
        <x:v>510</x:v>
      </x:c>
      <x:c r="L246" s="25" t="n">
        <x:v>866</x:v>
      </x:c>
      <x:c r="M246" s="25" t="n">
        <x:v>535</x:v>
      </x:c>
      <x:c r="N246" s="25" t="n">
        <x:v>316</x:v>
      </x:c>
      <x:c r="O246" s="25" t="n">
        <x:v>300</x:v>
      </x:c>
      <x:c r="P246" s="25" t="n">
        <x:f>L246+N246</x:f>
        <x:v>1182</x:v>
      </x:c>
      <x:c r="Q246" s="25" t="n">
        <x:f>M246+O246</x:f>
        <x:v>835</x:v>
      </x:c>
      <x:c r="R246" s="25" t="n">
        <x:f>MAX(0,MIN(J246,P246)-MAX(F246,L246))</x:f>
        <x:v>0</x:v>
      </x:c>
      <x:c r="S246" s="25" t="n">
        <x:f>MAX(0,MIN(K246,Q246)-MAX(G246,M246))</x:f>
        <x:v>0</x:v>
      </x:c>
      <x:c r="T246" s="25" t="n">
        <x:f>R246*S246</x:f>
        <x:v>0</x:v>
      </x:c>
      <x:c r="U246" s="24" t="str">
        <x:f>IF(T246&gt;0,"ERREUR chevauchement","OK aucun chevauchement")</x:f>
        <x:v>OK aucun chevauchement</x:v>
      </x:c>
      <x:c r="V246" s="24" t="str">
        <x:v>OK aucun chevauchement</x:v>
      </x:c>
      <x:c r="W246" s="24" t="str">
        <x:v>Si ERREUR : déplacer/redimensionner l’objet B ou créer un bookmark/masquage</x:v>
      </x:c>
    </x:row>
    <x:row r="247">
      <x:c r="A247" s="24" t="str">
        <x:v>Réseau MIA</x:v>
      </x:c>
      <x:c r="B247" s="24" t="str">
        <x:v>G03_KPI_Row</x:v>
      </x:c>
      <x:c r="C247" s="24" t="str">
        <x:v>KPI_Card_05</x:v>
      </x:c>
      <x:c r="D247" s="24" t="str">
        <x:v>G05_Right_Analytics</x:v>
      </x:c>
      <x:c r="E247" s="24" t="str">
        <x:v>Donut_MIA</x:v>
      </x:c>
      <x:c r="F247" s="25" t="n">
        <x:v>1232</x:v>
      </x:c>
      <x:c r="G247" s="25" t="n">
        <x:v>330</x:v>
      </x:c>
      <x:c r="H247" s="25" t="n">
        <x:v>287</x:v>
      </x:c>
      <x:c r="I247" s="25" t="n">
        <x:v>180</x:v>
      </x:c>
      <x:c r="J247" s="25" t="n">
        <x:f>F247+H247</x:f>
        <x:v>1519</x:v>
      </x:c>
      <x:c r="K247" s="25" t="n">
        <x:f>G247+I247</x:f>
        <x:v>510</x:v>
      </x:c>
      <x:c r="L247" s="25" t="n">
        <x:v>1198</x:v>
      </x:c>
      <x:c r="M247" s="25" t="n">
        <x:v>535</x:v>
      </x:c>
      <x:c r="N247" s="25" t="n">
        <x:v>322</x:v>
      </x:c>
      <x:c r="O247" s="25" t="n">
        <x:v>300</x:v>
      </x:c>
      <x:c r="P247" s="25" t="n">
        <x:f>L247+N247</x:f>
        <x:v>1520</x:v>
      </x:c>
      <x:c r="Q247" s="25" t="n">
        <x:f>M247+O247</x:f>
        <x:v>835</x:v>
      </x:c>
      <x:c r="R247" s="25" t="n">
        <x:f>MAX(0,MIN(J247,P247)-MAX(F247,L247))</x:f>
        <x:v>287</x:v>
      </x:c>
      <x:c r="S247" s="25" t="n">
        <x:f>MAX(0,MIN(K247,Q247)-MAX(G247,M247))</x:f>
        <x:v>0</x:v>
      </x:c>
      <x:c r="T247" s="25" t="n">
        <x:f>R247*S247</x:f>
        <x:v>0</x:v>
      </x:c>
      <x:c r="U247" s="24" t="str">
        <x:f>IF(T247&gt;0,"ERREUR chevauchement","OK aucun chevauchement")</x:f>
        <x:v>OK aucun chevauchement</x:v>
      </x:c>
      <x:c r="V247" s="24" t="str">
        <x:v>OK aucun chevauchement</x:v>
      </x:c>
      <x:c r="W247" s="24" t="str">
        <x:v>Si ERREUR : déplacer/redimensionner l’objet B ou créer un bookmark/masquage</x:v>
      </x:c>
    </x:row>
    <x:row r="248">
      <x:c r="A248" s="24" t="str">
        <x:v>Réseau MIA</x:v>
      </x:c>
      <x:c r="B248" s="24" t="str">
        <x:v>G03_KPI_Row</x:v>
      </x:c>
      <x:c r="C248" s="24" t="str">
        <x:v>KPI_Card_05</x:v>
      </x:c>
      <x:c r="D248" s="24" t="str">
        <x:v>G05_Right_Analytics</x:v>
      </x:c>
      <x:c r="E248" s="24" t="str">
        <x:v>Tableau_Compact</x:v>
      </x:c>
      <x:c r="F248" s="25" t="n">
        <x:v>1232</x:v>
      </x:c>
      <x:c r="G248" s="25" t="n">
        <x:v>330</x:v>
      </x:c>
      <x:c r="H248" s="25" t="n">
        <x:v>287</x:v>
      </x:c>
      <x:c r="I248" s="25" t="n">
        <x:v>180</x:v>
      </x:c>
      <x:c r="J248" s="25" t="n">
        <x:f>F248+H248</x:f>
        <x:v>1519</x:v>
      </x:c>
      <x:c r="K248" s="25" t="n">
        <x:f>G248+I248</x:f>
        <x:v>510</x:v>
      </x:c>
      <x:c r="L248" s="25" t="n">
        <x:v>866</x:v>
      </x:c>
      <x:c r="M248" s="25" t="n">
        <x:v>851</x:v>
      </x:c>
      <x:c r="N248" s="25" t="n">
        <x:v>654</x:v>
      </x:c>
      <x:c r="O248" s="25" t="n">
        <x:v>230</x:v>
      </x:c>
      <x:c r="P248" s="25" t="n">
        <x:f>L248+N248</x:f>
        <x:v>1520</x:v>
      </x:c>
      <x:c r="Q248" s="25" t="n">
        <x:f>M248+O248</x:f>
        <x:v>1081</x:v>
      </x:c>
      <x:c r="R248" s="25" t="n">
        <x:f>MAX(0,MIN(J248,P248)-MAX(F248,L248))</x:f>
        <x:v>287</x:v>
      </x:c>
      <x:c r="S248" s="25" t="n">
        <x:f>MAX(0,MIN(K248,Q248)-MAX(G248,M248))</x:f>
        <x:v>0</x:v>
      </x:c>
      <x:c r="T248" s="25" t="n">
        <x:f>R248*S248</x:f>
        <x:v>0</x:v>
      </x:c>
      <x:c r="U248" s="24" t="str">
        <x:f>IF(T248&gt;0,"ERREUR chevauchement","OK aucun chevauchement")</x:f>
        <x:v>OK aucun chevauchement</x:v>
      </x:c>
      <x:c r="V248" s="24" t="str">
        <x:v>OK aucun chevauchement</x:v>
      </x:c>
      <x:c r="W248" s="24" t="str">
        <x:v>Si ERREUR : déplacer/redimensionner l’objet B ou créer un bookmark/masquage</x:v>
      </x:c>
    </x:row>
    <x:row r="249">
      <x:c r="A249" s="24" t="str">
        <x:v>Réseau MIA</x:v>
      </x:c>
      <x:c r="B249" s="24" t="str">
        <x:v>G03_KPI_Row</x:v>
      </x:c>
      <x:c r="C249" s="24" t="str">
        <x:v>KPI_Card_05</x:v>
      </x:c>
      <x:c r="D249" s="24" t="str">
        <x:v>G05_Right_Analytics</x:v>
      </x:c>
      <x:c r="E249" s="24" t="str">
        <x:v>Bar_MIA_Productifs</x:v>
      </x:c>
      <x:c r="F249" s="25" t="n">
        <x:v>1232</x:v>
      </x:c>
      <x:c r="G249" s="25" t="n">
        <x:v>330</x:v>
      </x:c>
      <x:c r="H249" s="25" t="n">
        <x:v>287</x:v>
      </x:c>
      <x:c r="I249" s="25" t="n">
        <x:v>180</x:v>
      </x:c>
      <x:c r="J249" s="25" t="n">
        <x:f>F249+H249</x:f>
        <x:v>1519</x:v>
      </x:c>
      <x:c r="K249" s="25" t="n">
        <x:f>G249+I249</x:f>
        <x:v>510</x:v>
      </x:c>
      <x:c r="L249" s="25" t="n">
        <x:v>866</x:v>
      </x:c>
      <x:c r="M249" s="25" t="n">
        <x:v>1097</x:v>
      </x:c>
      <x:c r="N249" s="25" t="n">
        <x:v>654</x:v>
      </x:c>
      <x:c r="O249" s="25" t="n">
        <x:v>300</x:v>
      </x:c>
      <x:c r="P249" s="25" t="n">
        <x:f>L249+N249</x:f>
        <x:v>1520</x:v>
      </x:c>
      <x:c r="Q249" s="25" t="n">
        <x:f>M249+O249</x:f>
        <x:v>1397</x:v>
      </x:c>
      <x:c r="R249" s="25" t="n">
        <x:f>MAX(0,MIN(J249,P249)-MAX(F249,L249))</x:f>
        <x:v>287</x:v>
      </x:c>
      <x:c r="S249" s="25" t="n">
        <x:f>MAX(0,MIN(K249,Q249)-MAX(G249,M249))</x:f>
        <x:v>0</x:v>
      </x:c>
      <x:c r="T249" s="25" t="n">
        <x:f>R249*S249</x:f>
        <x:v>0</x:v>
      </x:c>
      <x:c r="U249" s="24" t="str">
        <x:f>IF(T249&gt;0,"ERREUR chevauchement","OK aucun chevauchement")</x:f>
        <x:v>OK aucun chevauchement</x:v>
      </x:c>
      <x:c r="V249" s="24" t="str">
        <x:v>OK aucun chevauchement</x:v>
      </x:c>
      <x:c r="W249" s="24" t="str">
        <x:v>Si ERREUR : déplacer/redimensionner l’objet B ou créer un bookmark/masquage</x:v>
      </x:c>
    </x:row>
    <x:row r="250">
      <x:c r="A250" s="24" t="str">
        <x:v>Réseau MIA Tableau</x:v>
      </x:c>
      <x:c r="B250" s="24" t="str">
        <x:v>G00_Header_Global</x:v>
      </x:c>
      <x:c r="C250" s="24" t="str">
        <x:v>Header_Global</x:v>
      </x:c>
      <x:c r="D250" s="24" t="str">
        <x:v>G01_Title_Zone</x:v>
      </x:c>
      <x:c r="E250" s="24" t="str">
        <x:v>Title_Zone</x:v>
      </x:c>
      <x:c r="F250" s="25" t="n">
        <x:v>0</x:v>
      </x:c>
      <x:c r="G250" s="25" t="n">
        <x:v>0</x:v>
      </x:c>
      <x:c r="H250" s="25" t="n">
        <x:v>1540</x:v>
      </x:c>
      <x:c r="I250" s="25" t="n">
        <x:v>88</x:v>
      </x:c>
      <x:c r="J250" s="25" t="n">
        <x:f>F250+H250</x:f>
        <x:v>1540</x:v>
      </x:c>
      <x:c r="K250" s="25" t="n">
        <x:f>G250+I250</x:f>
        <x:v>88</x:v>
      </x:c>
      <x:c r="L250" s="25" t="n">
        <x:v>20</x:v>
      </x:c>
      <x:c r="M250" s="25" t="n">
        <x:v>110</x:v>
      </x:c>
      <x:c r="N250" s="25" t="n">
        <x:v>1500</x:v>
      </x:c>
      <x:c r="O250" s="25" t="n">
        <x:v>132</x:v>
      </x:c>
      <x:c r="P250" s="25" t="n">
        <x:f>L250+N250</x:f>
        <x:v>1520</x:v>
      </x:c>
      <x:c r="Q250" s="25" t="n">
        <x:f>M250+O250</x:f>
        <x:v>242</x:v>
      </x:c>
      <x:c r="R250" s="25" t="n">
        <x:f>MAX(0,MIN(J250,P250)-MAX(F250,L250))</x:f>
        <x:v>1500</x:v>
      </x:c>
      <x:c r="S250" s="25" t="n">
        <x:f>MAX(0,MIN(K250,Q250)-MAX(G250,M250))</x:f>
        <x:v>0</x:v>
      </x:c>
      <x:c r="T250" s="25" t="n">
        <x:f>R250*S250</x:f>
        <x:v>0</x:v>
      </x:c>
      <x:c r="U250" s="24" t="str">
        <x:f>IF(T250&gt;0,"ERREUR chevauchement","OK aucun chevauchement")</x:f>
        <x:v>OK aucun chevauchement</x:v>
      </x:c>
      <x:c r="V250" s="24" t="str">
        <x:v>OK aucun chevauchement</x:v>
      </x:c>
      <x:c r="W250" s="24" t="str">
        <x:v>Si ERREUR : déplacer/redimensionner l’objet B ou créer un bookmark/masquage</x:v>
      </x:c>
    </x:row>
    <x:row r="251">
      <x:c r="A251" s="24" t="str">
        <x:v>Réseau MIA Tableau</x:v>
      </x:c>
      <x:c r="B251" s="24" t="str">
        <x:v>G00_Header_Global</x:v>
      </x:c>
      <x:c r="C251" s="24" t="str">
        <x:v>Header_Global</x:v>
      </x:c>
      <x:c r="D251" s="24" t="str">
        <x:v>G02_Toolbar</x:v>
      </x:c>
      <x:c r="E251" s="24" t="str">
        <x:v>Toolbar_Slicers_FieldParams</x:v>
      </x:c>
      <x:c r="F251" s="25" t="n">
        <x:v>0</x:v>
      </x:c>
      <x:c r="G251" s="25" t="n">
        <x:v>0</x:v>
      </x:c>
      <x:c r="H251" s="25" t="n">
        <x:v>1540</x:v>
      </x:c>
      <x:c r="I251" s="25" t="n">
        <x:v>88</x:v>
      </x:c>
      <x:c r="J251" s="25" t="n">
        <x:f>F251+H251</x:f>
        <x:v>1540</x:v>
      </x:c>
      <x:c r="K251" s="25" t="n">
        <x:f>G251+I251</x:f>
        <x:v>88</x:v>
      </x:c>
      <x:c r="L251" s="25" t="n">
        <x:v>20</x:v>
      </x:c>
      <x:c r="M251" s="25" t="n">
        <x:v>260</x:v>
      </x:c>
      <x:c r="N251" s="25" t="n">
        <x:v>1500</x:v>
      </x:c>
      <x:c r="O251" s="25" t="n">
        <x:v>56</x:v>
      </x:c>
      <x:c r="P251" s="25" t="n">
        <x:f>L251+N251</x:f>
        <x:v>1520</x:v>
      </x:c>
      <x:c r="Q251" s="25" t="n">
        <x:f>M251+O251</x:f>
        <x:v>316</x:v>
      </x:c>
      <x:c r="R251" s="25" t="n">
        <x:f>MAX(0,MIN(J251,P251)-MAX(F251,L251))</x:f>
        <x:v>1500</x:v>
      </x:c>
      <x:c r="S251" s="25" t="n">
        <x:f>MAX(0,MIN(K251,Q251)-MAX(G251,M251))</x:f>
        <x:v>0</x:v>
      </x:c>
      <x:c r="T251" s="25" t="n">
        <x:f>R251*S251</x:f>
        <x:v>0</x:v>
      </x:c>
      <x:c r="U251" s="24" t="str">
        <x:f>IF(T251&gt;0,"ERREUR chevauchement","OK aucun chevauchement")</x:f>
        <x:v>OK aucun chevauchement</x:v>
      </x:c>
      <x:c r="V251" s="24" t="str">
        <x:v>OK aucun chevauchement</x:v>
      </x:c>
      <x:c r="W251" s="24" t="str">
        <x:v>Si ERREUR : déplacer/redimensionner l’objet B ou créer un bookmark/masquage</x:v>
      </x:c>
    </x:row>
    <x:row r="252">
      <x:c r="A252" s="24" t="str">
        <x:v>Réseau MIA Tableau</x:v>
      </x:c>
      <x:c r="B252" s="24" t="str">
        <x:v>G00_Header_Global</x:v>
      </x:c>
      <x:c r="C252" s="24" t="str">
        <x:v>Header_Global</x:v>
      </x:c>
      <x:c r="D252" s="24" t="str">
        <x:v>G03_KPI_Row</x:v>
      </x:c>
      <x:c r="E252" s="24" t="str">
        <x:v>KPI_Card_01</x:v>
      </x:c>
      <x:c r="F252" s="25" t="n">
        <x:v>0</x:v>
      </x:c>
      <x:c r="G252" s="25" t="n">
        <x:v>0</x:v>
      </x:c>
      <x:c r="H252" s="25" t="n">
        <x:v>1540</x:v>
      </x:c>
      <x:c r="I252" s="25" t="n">
        <x:v>88</x:v>
      </x:c>
      <x:c r="J252" s="25" t="n">
        <x:f>F252+H252</x:f>
        <x:v>1540</x:v>
      </x:c>
      <x:c r="K252" s="25" t="n">
        <x:f>G252+I252</x:f>
        <x:v>88</x:v>
      </x:c>
      <x:c r="L252" s="25" t="n">
        <x:v>20</x:v>
      </x:c>
      <x:c r="M252" s="25" t="n">
        <x:v>330</x:v>
      </x:c>
      <x:c r="N252" s="25" t="n">
        <x:v>287</x:v>
      </x:c>
      <x:c r="O252" s="25" t="n">
        <x:v>180</x:v>
      </x:c>
      <x:c r="P252" s="25" t="n">
        <x:f>L252+N252</x:f>
        <x:v>307</x:v>
      </x:c>
      <x:c r="Q252" s="25" t="n">
        <x:f>M252+O252</x:f>
        <x:v>510</x:v>
      </x:c>
      <x:c r="R252" s="25" t="n">
        <x:f>MAX(0,MIN(J252,P252)-MAX(F252,L252))</x:f>
        <x:v>287</x:v>
      </x:c>
      <x:c r="S252" s="25" t="n">
        <x:f>MAX(0,MIN(K252,Q252)-MAX(G252,M252))</x:f>
        <x:v>0</x:v>
      </x:c>
      <x:c r="T252" s="25" t="n">
        <x:f>R252*S252</x:f>
        <x:v>0</x:v>
      </x:c>
      <x:c r="U252" s="24" t="str">
        <x:f>IF(T252&gt;0,"ERREUR chevauchement","OK aucun chevauchement")</x:f>
        <x:v>OK aucun chevauchement</x:v>
      </x:c>
      <x:c r="V252" s="24" t="str">
        <x:v>OK aucun chevauchement</x:v>
      </x:c>
      <x:c r="W252" s="24" t="str">
        <x:v>Si ERREUR : déplacer/redimensionner l’objet B ou créer un bookmark/masquage</x:v>
      </x:c>
    </x:row>
    <x:row r="253">
      <x:c r="A253" s="24" t="str">
        <x:v>Réseau MIA Tableau</x:v>
      </x:c>
      <x:c r="B253" s="24" t="str">
        <x:v>G00_Header_Global</x:v>
      </x:c>
      <x:c r="C253" s="24" t="str">
        <x:v>Header_Global</x:v>
      </x:c>
      <x:c r="D253" s="24" t="str">
        <x:v>G03_KPI_Row</x:v>
      </x:c>
      <x:c r="E253" s="24" t="str">
        <x:v>KPI_Card_02</x:v>
      </x:c>
      <x:c r="F253" s="25" t="n">
        <x:v>0</x:v>
      </x:c>
      <x:c r="G253" s="25" t="n">
        <x:v>0</x:v>
      </x:c>
      <x:c r="H253" s="25" t="n">
        <x:v>1540</x:v>
      </x:c>
      <x:c r="I253" s="25" t="n">
        <x:v>88</x:v>
      </x:c>
      <x:c r="J253" s="25" t="n">
        <x:f>F253+H253</x:f>
        <x:v>1540</x:v>
      </x:c>
      <x:c r="K253" s="25" t="n">
        <x:f>G253+I253</x:f>
        <x:v>88</x:v>
      </x:c>
      <x:c r="L253" s="25" t="n">
        <x:v>323</x:v>
      </x:c>
      <x:c r="M253" s="25" t="n">
        <x:v>330</x:v>
      </x:c>
      <x:c r="N253" s="25" t="n">
        <x:v>287</x:v>
      </x:c>
      <x:c r="O253" s="25" t="n">
        <x:v>180</x:v>
      </x:c>
      <x:c r="P253" s="25" t="n">
        <x:f>L253+N253</x:f>
        <x:v>610</x:v>
      </x:c>
      <x:c r="Q253" s="25" t="n">
        <x:f>M253+O253</x:f>
        <x:v>510</x:v>
      </x:c>
      <x:c r="R253" s="25" t="n">
        <x:f>MAX(0,MIN(J253,P253)-MAX(F253,L253))</x:f>
        <x:v>287</x:v>
      </x:c>
      <x:c r="S253" s="25" t="n">
        <x:f>MAX(0,MIN(K253,Q253)-MAX(G253,M253))</x:f>
        <x:v>0</x:v>
      </x:c>
      <x:c r="T253" s="25" t="n">
        <x:f>R253*S253</x:f>
        <x:v>0</x:v>
      </x:c>
      <x:c r="U253" s="24" t="str">
        <x:f>IF(T253&gt;0,"ERREUR chevauchement","OK aucun chevauchement")</x:f>
        <x:v>OK aucun chevauchement</x:v>
      </x:c>
      <x:c r="V253" s="24" t="str">
        <x:v>OK aucun chevauchement</x:v>
      </x:c>
      <x:c r="W253" s="24" t="str">
        <x:v>Si ERREUR : déplacer/redimensionner l’objet B ou créer un bookmark/masquage</x:v>
      </x:c>
    </x:row>
    <x:row r="254">
      <x:c r="A254" s="24" t="str">
        <x:v>Réseau MIA Tableau</x:v>
      </x:c>
      <x:c r="B254" s="24" t="str">
        <x:v>G00_Header_Global</x:v>
      </x:c>
      <x:c r="C254" s="24" t="str">
        <x:v>Header_Global</x:v>
      </x:c>
      <x:c r="D254" s="24" t="str">
        <x:v>G03_KPI_Row</x:v>
      </x:c>
      <x:c r="E254" s="24" t="str">
        <x:v>KPI_Card_03</x:v>
      </x:c>
      <x:c r="F254" s="25" t="n">
        <x:v>0</x:v>
      </x:c>
      <x:c r="G254" s="25" t="n">
        <x:v>0</x:v>
      </x:c>
      <x:c r="H254" s="25" t="n">
        <x:v>1540</x:v>
      </x:c>
      <x:c r="I254" s="25" t="n">
        <x:v>88</x:v>
      </x:c>
      <x:c r="J254" s="25" t="n">
        <x:f>F254+H254</x:f>
        <x:v>1540</x:v>
      </x:c>
      <x:c r="K254" s="25" t="n">
        <x:f>G254+I254</x:f>
        <x:v>88</x:v>
      </x:c>
      <x:c r="L254" s="25" t="n">
        <x:v>626</x:v>
      </x:c>
      <x:c r="M254" s="25" t="n">
        <x:v>330</x:v>
      </x:c>
      <x:c r="N254" s="25" t="n">
        <x:v>287</x:v>
      </x:c>
      <x:c r="O254" s="25" t="n">
        <x:v>180</x:v>
      </x:c>
      <x:c r="P254" s="25" t="n">
        <x:f>L254+N254</x:f>
        <x:v>913</x:v>
      </x:c>
      <x:c r="Q254" s="25" t="n">
        <x:f>M254+O254</x:f>
        <x:v>510</x:v>
      </x:c>
      <x:c r="R254" s="25" t="n">
        <x:f>MAX(0,MIN(J254,P254)-MAX(F254,L254))</x:f>
        <x:v>287</x:v>
      </x:c>
      <x:c r="S254" s="25" t="n">
        <x:f>MAX(0,MIN(K254,Q254)-MAX(G254,M254))</x:f>
        <x:v>0</x:v>
      </x:c>
      <x:c r="T254" s="25" t="n">
        <x:f>R254*S254</x:f>
        <x:v>0</x:v>
      </x:c>
      <x:c r="U254" s="24" t="str">
        <x:f>IF(T254&gt;0,"ERREUR chevauchement","OK aucun chevauchement")</x:f>
        <x:v>OK aucun chevauchement</x:v>
      </x:c>
      <x:c r="V254" s="24" t="str">
        <x:v>OK aucun chevauchement</x:v>
      </x:c>
      <x:c r="W254" s="24" t="str">
        <x:v>Si ERREUR : déplacer/redimensionner l’objet B ou créer un bookmark/masquage</x:v>
      </x:c>
    </x:row>
    <x:row r="255">
      <x:c r="A255" s="24" t="str">
        <x:v>Réseau MIA Tableau</x:v>
      </x:c>
      <x:c r="B255" s="24" t="str">
        <x:v>G00_Header_Global</x:v>
      </x:c>
      <x:c r="C255" s="24" t="str">
        <x:v>Header_Global</x:v>
      </x:c>
      <x:c r="D255" s="24" t="str">
        <x:v>G03_KPI_Row</x:v>
      </x:c>
      <x:c r="E255" s="24" t="str">
        <x:v>KPI_Card_04</x:v>
      </x:c>
      <x:c r="F255" s="25" t="n">
        <x:v>0</x:v>
      </x:c>
      <x:c r="G255" s="25" t="n">
        <x:v>0</x:v>
      </x:c>
      <x:c r="H255" s="25" t="n">
        <x:v>1540</x:v>
      </x:c>
      <x:c r="I255" s="25" t="n">
        <x:v>88</x:v>
      </x:c>
      <x:c r="J255" s="25" t="n">
        <x:f>F255+H255</x:f>
        <x:v>1540</x:v>
      </x:c>
      <x:c r="K255" s="25" t="n">
        <x:f>G255+I255</x:f>
        <x:v>88</x:v>
      </x:c>
      <x:c r="L255" s="25" t="n">
        <x:v>929</x:v>
      </x:c>
      <x:c r="M255" s="25" t="n">
        <x:v>330</x:v>
      </x:c>
      <x:c r="N255" s="25" t="n">
        <x:v>287</x:v>
      </x:c>
      <x:c r="O255" s="25" t="n">
        <x:v>180</x:v>
      </x:c>
      <x:c r="P255" s="25" t="n">
        <x:f>L255+N255</x:f>
        <x:v>1216</x:v>
      </x:c>
      <x:c r="Q255" s="25" t="n">
        <x:f>M255+O255</x:f>
        <x:v>510</x:v>
      </x:c>
      <x:c r="R255" s="25" t="n">
        <x:f>MAX(0,MIN(J255,P255)-MAX(F255,L255))</x:f>
        <x:v>287</x:v>
      </x:c>
      <x:c r="S255" s="25" t="n">
        <x:f>MAX(0,MIN(K255,Q255)-MAX(G255,M255))</x:f>
        <x:v>0</x:v>
      </x:c>
      <x:c r="T255" s="25" t="n">
        <x:f>R255*S255</x:f>
        <x:v>0</x:v>
      </x:c>
      <x:c r="U255" s="24" t="str">
        <x:f>IF(T255&gt;0,"ERREUR chevauchement","OK aucun chevauchement")</x:f>
        <x:v>OK aucun chevauchement</x:v>
      </x:c>
      <x:c r="V255" s="24" t="str">
        <x:v>OK aucun chevauchement</x:v>
      </x:c>
      <x:c r="W255" s="24" t="str">
        <x:v>Si ERREUR : déplacer/redimensionner l’objet B ou créer un bookmark/masquage</x:v>
      </x:c>
    </x:row>
    <x:row r="256">
      <x:c r="A256" s="24" t="str">
        <x:v>Réseau MIA Tableau</x:v>
      </x:c>
      <x:c r="B256" s="24" t="str">
        <x:v>G00_Header_Global</x:v>
      </x:c>
      <x:c r="C256" s="24" t="str">
        <x:v>Header_Global</x:v>
      </x:c>
      <x:c r="D256" s="24" t="str">
        <x:v>G03_KPI_Row</x:v>
      </x:c>
      <x:c r="E256" s="24" t="str">
        <x:v>KPI_Card_05</x:v>
      </x:c>
      <x:c r="F256" s="25" t="n">
        <x:v>0</x:v>
      </x:c>
      <x:c r="G256" s="25" t="n">
        <x:v>0</x:v>
      </x:c>
      <x:c r="H256" s="25" t="n">
        <x:v>1540</x:v>
      </x:c>
      <x:c r="I256" s="25" t="n">
        <x:v>88</x:v>
      </x:c>
      <x:c r="J256" s="25" t="n">
        <x:f>F256+H256</x:f>
        <x:v>1540</x:v>
      </x:c>
      <x:c r="K256" s="25" t="n">
        <x:f>G256+I256</x:f>
        <x:v>88</x:v>
      </x:c>
      <x:c r="L256" s="25" t="n">
        <x:v>1232</x:v>
      </x:c>
      <x:c r="M256" s="25" t="n">
        <x:v>330</x:v>
      </x:c>
      <x:c r="N256" s="25" t="n">
        <x:v>287</x:v>
      </x:c>
      <x:c r="O256" s="25" t="n">
        <x:v>180</x:v>
      </x:c>
      <x:c r="P256" s="25" t="n">
        <x:f>L256+N256</x:f>
        <x:v>1519</x:v>
      </x:c>
      <x:c r="Q256" s="25" t="n">
        <x:f>M256+O256</x:f>
        <x:v>510</x:v>
      </x:c>
      <x:c r="R256" s="25" t="n">
        <x:f>MAX(0,MIN(J256,P256)-MAX(F256,L256))</x:f>
        <x:v>287</x:v>
      </x:c>
      <x:c r="S256" s="25" t="n">
        <x:f>MAX(0,MIN(K256,Q256)-MAX(G256,M256))</x:f>
        <x:v>0</x:v>
      </x:c>
      <x:c r="T256" s="25" t="n">
        <x:f>R256*S256</x:f>
        <x:v>0</x:v>
      </x:c>
      <x:c r="U256" s="24" t="str">
        <x:f>IF(T256&gt;0,"ERREUR chevauchement","OK aucun chevauchement")</x:f>
        <x:v>OK aucun chevauchement</x:v>
      </x:c>
      <x:c r="V256" s="24" t="str">
        <x:v>OK aucun chevauchement</x:v>
      </x:c>
      <x:c r="W256" s="24" t="str">
        <x:v>Si ERREUR : déplacer/redimensionner l’objet B ou créer un bookmark/masquage</x:v>
      </x:c>
    </x:row>
    <x:row r="257">
      <x:c r="A257" s="24" t="str">
        <x:v>Réseau MIA Tableau</x:v>
      </x:c>
      <x:c r="B257" s="24" t="str">
        <x:v>G00_Header_Global</x:v>
      </x:c>
      <x:c r="C257" s="24" t="str">
        <x:v>Header_Global</x:v>
      </x:c>
      <x:c r="D257" s="24" t="str">
        <x:v>G04_Map_Main</x:v>
      </x:c>
      <x:c r="E257" s="24" t="str">
        <x:v>Map_Carte_France</x:v>
      </x:c>
      <x:c r="F257" s="25" t="n">
        <x:v>0</x:v>
      </x:c>
      <x:c r="G257" s="25" t="n">
        <x:v>0</x:v>
      </x:c>
      <x:c r="H257" s="25" t="n">
        <x:v>1540</x:v>
      </x:c>
      <x:c r="I257" s="25" t="n">
        <x:v>88</x:v>
      </x:c>
      <x:c r="J257" s="25" t="n">
        <x:f>F257+H257</x:f>
        <x:v>1540</x:v>
      </x:c>
      <x:c r="K257" s="25" t="n">
        <x:f>G257+I257</x:f>
        <x:v>88</x:v>
      </x:c>
      <x:c r="L257" s="25" t="n">
        <x:v>20</x:v>
      </x:c>
      <x:c r="M257" s="25" t="n">
        <x:v>535</x:v>
      </x:c>
      <x:c r="N257" s="25" t="n">
        <x:v>830</x:v>
      </x:c>
      <x:c r="O257" s="25" t="n">
        <x:v>560</x:v>
      </x:c>
      <x:c r="P257" s="25" t="n">
        <x:f>L257+N257</x:f>
        <x:v>850</x:v>
      </x:c>
      <x:c r="Q257" s="25" t="n">
        <x:f>M257+O257</x:f>
        <x:v>1095</x:v>
      </x:c>
      <x:c r="R257" s="25" t="n">
        <x:f>MAX(0,MIN(J257,P257)-MAX(F257,L257))</x:f>
        <x:v>830</x:v>
      </x:c>
      <x:c r="S257" s="25" t="n">
        <x:f>MAX(0,MIN(K257,Q257)-MAX(G257,M257))</x:f>
        <x:v>0</x:v>
      </x:c>
      <x:c r="T257" s="25" t="n">
        <x:f>R257*S257</x:f>
        <x:v>0</x:v>
      </x:c>
      <x:c r="U257" s="24" t="str">
        <x:f>IF(T257&gt;0,"ERREUR chevauchement","OK aucun chevauchement")</x:f>
        <x:v>OK aucun chevauchement</x:v>
      </x:c>
      <x:c r="V257" s="24" t="str">
        <x:v>OK aucun chevauchement</x:v>
      </x:c>
      <x:c r="W257" s="24" t="str">
        <x:v>Si ERREUR : déplacer/redimensionner l’objet B ou créer un bookmark/masquage</x:v>
      </x:c>
    </x:row>
    <x:row r="258">
      <x:c r="A258" s="24" t="str">
        <x:v>Réseau MIA Tableau</x:v>
      </x:c>
      <x:c r="B258" s="24" t="str">
        <x:v>G00_Header_Global</x:v>
      </x:c>
      <x:c r="C258" s="24" t="str">
        <x:v>Header_Global</x:v>
      </x:c>
      <x:c r="D258" s="24" t="str">
        <x:v>G05_Right_Analytics</x:v>
      </x:c>
      <x:c r="E258" s="24" t="str">
        <x:v>Donut_CSP</x:v>
      </x:c>
      <x:c r="F258" s="25" t="n">
        <x:v>0</x:v>
      </x:c>
      <x:c r="G258" s="25" t="n">
        <x:v>0</x:v>
      </x:c>
      <x:c r="H258" s="25" t="n">
        <x:v>1540</x:v>
      </x:c>
      <x:c r="I258" s="25" t="n">
        <x:v>88</x:v>
      </x:c>
      <x:c r="J258" s="25" t="n">
        <x:f>F258+H258</x:f>
        <x:v>1540</x:v>
      </x:c>
      <x:c r="K258" s="25" t="n">
        <x:f>G258+I258</x:f>
        <x:v>88</x:v>
      </x:c>
      <x:c r="L258" s="25" t="n">
        <x:v>866</x:v>
      </x:c>
      <x:c r="M258" s="25" t="n">
        <x:v>535</x:v>
      </x:c>
      <x:c r="N258" s="25" t="n">
        <x:v>316</x:v>
      </x:c>
      <x:c r="O258" s="25" t="n">
        <x:v>300</x:v>
      </x:c>
      <x:c r="P258" s="25" t="n">
        <x:f>L258+N258</x:f>
        <x:v>1182</x:v>
      </x:c>
      <x:c r="Q258" s="25" t="n">
        <x:f>M258+O258</x:f>
        <x:v>835</x:v>
      </x:c>
      <x:c r="R258" s="25" t="n">
        <x:f>MAX(0,MIN(J258,P258)-MAX(F258,L258))</x:f>
        <x:v>316</x:v>
      </x:c>
      <x:c r="S258" s="25" t="n">
        <x:f>MAX(0,MIN(K258,Q258)-MAX(G258,M258))</x:f>
        <x:v>0</x:v>
      </x:c>
      <x:c r="T258" s="25" t="n">
        <x:f>R258*S258</x:f>
        <x:v>0</x:v>
      </x:c>
      <x:c r="U258" s="24" t="str">
        <x:f>IF(T258&gt;0,"ERREUR chevauchement","OK aucun chevauchement")</x:f>
        <x:v>OK aucun chevauchement</x:v>
      </x:c>
      <x:c r="V258" s="24" t="str">
        <x:v>OK aucun chevauchement</x:v>
      </x:c>
      <x:c r="W258" s="24" t="str">
        <x:v>Si ERREUR : déplacer/redimensionner l’objet B ou créer un bookmark/masquage</x:v>
      </x:c>
    </x:row>
    <x:row r="259">
      <x:c r="A259" s="24" t="str">
        <x:v>Réseau MIA Tableau</x:v>
      </x:c>
      <x:c r="B259" s="24" t="str">
        <x:v>G00_Header_Global</x:v>
      </x:c>
      <x:c r="C259" s="24" t="str">
        <x:v>Header_Global</x:v>
      </x:c>
      <x:c r="D259" s="24" t="str">
        <x:v>G05_Right_Analytics</x:v>
      </x:c>
      <x:c r="E259" s="24" t="str">
        <x:v>Donut_MIA</x:v>
      </x:c>
      <x:c r="F259" s="25" t="n">
        <x:v>0</x:v>
      </x:c>
      <x:c r="G259" s="25" t="n">
        <x:v>0</x:v>
      </x:c>
      <x:c r="H259" s="25" t="n">
        <x:v>1540</x:v>
      </x:c>
      <x:c r="I259" s="25" t="n">
        <x:v>88</x:v>
      </x:c>
      <x:c r="J259" s="25" t="n">
        <x:f>F259+H259</x:f>
        <x:v>1540</x:v>
      </x:c>
      <x:c r="K259" s="25" t="n">
        <x:f>G259+I259</x:f>
        <x:v>88</x:v>
      </x:c>
      <x:c r="L259" s="25" t="n">
        <x:v>1198</x:v>
      </x:c>
      <x:c r="M259" s="25" t="n">
        <x:v>535</x:v>
      </x:c>
      <x:c r="N259" s="25" t="n">
        <x:v>322</x:v>
      </x:c>
      <x:c r="O259" s="25" t="n">
        <x:v>300</x:v>
      </x:c>
      <x:c r="P259" s="25" t="n">
        <x:f>L259+N259</x:f>
        <x:v>1520</x:v>
      </x:c>
      <x:c r="Q259" s="25" t="n">
        <x:f>M259+O259</x:f>
        <x:v>835</x:v>
      </x:c>
      <x:c r="R259" s="25" t="n">
        <x:f>MAX(0,MIN(J259,P259)-MAX(F259,L259))</x:f>
        <x:v>322</x:v>
      </x:c>
      <x:c r="S259" s="25" t="n">
        <x:f>MAX(0,MIN(K259,Q259)-MAX(G259,M259))</x:f>
        <x:v>0</x:v>
      </x:c>
      <x:c r="T259" s="25" t="n">
        <x:f>R259*S259</x:f>
        <x:v>0</x:v>
      </x:c>
      <x:c r="U259" s="24" t="str">
        <x:f>IF(T259&gt;0,"ERREUR chevauchement","OK aucun chevauchement")</x:f>
        <x:v>OK aucun chevauchement</x:v>
      </x:c>
      <x:c r="V259" s="24" t="str">
        <x:v>OK aucun chevauchement</x:v>
      </x:c>
      <x:c r="W259" s="24" t="str">
        <x:v>Si ERREUR : déplacer/redimensionner l’objet B ou créer un bookmark/masquage</x:v>
      </x:c>
    </x:row>
    <x:row r="260">
      <x:c r="A260" s="24" t="str">
        <x:v>Réseau MIA Tableau</x:v>
      </x:c>
      <x:c r="B260" s="24" t="str">
        <x:v>G00_Header_Global</x:v>
      </x:c>
      <x:c r="C260" s="24" t="str">
        <x:v>Header_Global</x:v>
      </x:c>
      <x:c r="D260" s="24" t="str">
        <x:v>G05_Right_Analytics</x:v>
      </x:c>
      <x:c r="E260" s="24" t="str">
        <x:v>Tableau_Compact</x:v>
      </x:c>
      <x:c r="F260" s="25" t="n">
        <x:v>0</x:v>
      </x:c>
      <x:c r="G260" s="25" t="n">
        <x:v>0</x:v>
      </x:c>
      <x:c r="H260" s="25" t="n">
        <x:v>1540</x:v>
      </x:c>
      <x:c r="I260" s="25" t="n">
        <x:v>88</x:v>
      </x:c>
      <x:c r="J260" s="25" t="n">
        <x:f>F260+H260</x:f>
        <x:v>1540</x:v>
      </x:c>
      <x:c r="K260" s="25" t="n">
        <x:f>G260+I260</x:f>
        <x:v>88</x:v>
      </x:c>
      <x:c r="L260" s="25" t="n">
        <x:v>866</x:v>
      </x:c>
      <x:c r="M260" s="25" t="n">
        <x:v>851</x:v>
      </x:c>
      <x:c r="N260" s="25" t="n">
        <x:v>654</x:v>
      </x:c>
      <x:c r="O260" s="25" t="n">
        <x:v>230</x:v>
      </x:c>
      <x:c r="P260" s="25" t="n">
        <x:f>L260+N260</x:f>
        <x:v>1520</x:v>
      </x:c>
      <x:c r="Q260" s="25" t="n">
        <x:f>M260+O260</x:f>
        <x:v>1081</x:v>
      </x:c>
      <x:c r="R260" s="25" t="n">
        <x:f>MAX(0,MIN(J260,P260)-MAX(F260,L260))</x:f>
        <x:v>654</x:v>
      </x:c>
      <x:c r="S260" s="25" t="n">
        <x:f>MAX(0,MIN(K260,Q260)-MAX(G260,M260))</x:f>
        <x:v>0</x:v>
      </x:c>
      <x:c r="T260" s="25" t="n">
        <x:f>R260*S260</x:f>
        <x:v>0</x:v>
      </x:c>
      <x:c r="U260" s="24" t="str">
        <x:f>IF(T260&gt;0,"ERREUR chevauchement","OK aucun chevauchement")</x:f>
        <x:v>OK aucun chevauchement</x:v>
      </x:c>
      <x:c r="V260" s="24" t="str">
        <x:v>OK aucun chevauchement</x:v>
      </x:c>
      <x:c r="W260" s="24" t="str">
        <x:v>Si ERREUR : déplacer/redimensionner l’objet B ou créer un bookmark/masquage</x:v>
      </x:c>
    </x:row>
    <x:row r="261">
      <x:c r="A261" s="24" t="str">
        <x:v>Réseau MIA Tableau</x:v>
      </x:c>
      <x:c r="B261" s="24" t="str">
        <x:v>G00_Header_Global</x:v>
      </x:c>
      <x:c r="C261" s="24" t="str">
        <x:v>Header_Global</x:v>
      </x:c>
      <x:c r="D261" s="24" t="str">
        <x:v>G05_Right_Analytics</x:v>
      </x:c>
      <x:c r="E261" s="24" t="str">
        <x:v>Bar_MIA_Productifs</x:v>
      </x:c>
      <x:c r="F261" s="25" t="n">
        <x:v>0</x:v>
      </x:c>
      <x:c r="G261" s="25" t="n">
        <x:v>0</x:v>
      </x:c>
      <x:c r="H261" s="25" t="n">
        <x:v>1540</x:v>
      </x:c>
      <x:c r="I261" s="25" t="n">
        <x:v>88</x:v>
      </x:c>
      <x:c r="J261" s="25" t="n">
        <x:f>F261+H261</x:f>
        <x:v>1540</x:v>
      </x:c>
      <x:c r="K261" s="25" t="n">
        <x:f>G261+I261</x:f>
        <x:v>88</x:v>
      </x:c>
      <x:c r="L261" s="25" t="n">
        <x:v>866</x:v>
      </x:c>
      <x:c r="M261" s="25" t="n">
        <x:v>1097</x:v>
      </x:c>
      <x:c r="N261" s="25" t="n">
        <x:v>654</x:v>
      </x:c>
      <x:c r="O261" s="25" t="n">
        <x:v>300</x:v>
      </x:c>
      <x:c r="P261" s="25" t="n">
        <x:f>L261+N261</x:f>
        <x:v>1520</x:v>
      </x:c>
      <x:c r="Q261" s="25" t="n">
        <x:f>M261+O261</x:f>
        <x:v>1397</x:v>
      </x:c>
      <x:c r="R261" s="25" t="n">
        <x:f>MAX(0,MIN(J261,P261)-MAX(F261,L261))</x:f>
        <x:v>654</x:v>
      </x:c>
      <x:c r="S261" s="25" t="n">
        <x:f>MAX(0,MIN(K261,Q261)-MAX(G261,M261))</x:f>
        <x:v>0</x:v>
      </x:c>
      <x:c r="T261" s="25" t="n">
        <x:f>R261*S261</x:f>
        <x:v>0</x:v>
      </x:c>
      <x:c r="U261" s="24" t="str">
        <x:f>IF(T261&gt;0,"ERREUR chevauchement","OK aucun chevauchement")</x:f>
        <x:v>OK aucun chevauchement</x:v>
      </x:c>
      <x:c r="V261" s="24" t="str">
        <x:v>OK aucun chevauchement</x:v>
      </x:c>
      <x:c r="W261" s="24" t="str">
        <x:v>Si ERREUR : déplacer/redimensionner l’objet B ou créer un bookmark/masquage</x:v>
      </x:c>
    </x:row>
    <x:row r="262">
      <x:c r="A262" s="24" t="str">
        <x:v>Réseau MIA Tableau</x:v>
      </x:c>
      <x:c r="B262" s="24" t="str">
        <x:v>G00_Header_Global</x:v>
      </x:c>
      <x:c r="C262" s="24" t="str">
        <x:v>Header_Global</x:v>
      </x:c>
      <x:c r="D262" s="24" t="str">
        <x:v>G06_Table_Detail</x:v>
      </x:c>
      <x:c r="E262" s="24" t="str">
        <x:v>Tableau_Reseau_Detaille</x:v>
      </x:c>
      <x:c r="F262" s="25" t="n">
        <x:v>0</x:v>
      </x:c>
      <x:c r="G262" s="25" t="n">
        <x:v>0</x:v>
      </x:c>
      <x:c r="H262" s="25" t="n">
        <x:v>1540</x:v>
      </x:c>
      <x:c r="I262" s="25" t="n">
        <x:v>88</x:v>
      </x:c>
      <x:c r="J262" s="25" t="n">
        <x:f>F262+H262</x:f>
        <x:v>1540</x:v>
      </x:c>
      <x:c r="K262" s="25" t="n">
        <x:f>G262+I262</x:f>
        <x:v>88</x:v>
      </x:c>
      <x:c r="L262" s="25" t="n">
        <x:v>20</x:v>
      </x:c>
      <x:c r="M262" s="25" t="n">
        <x:v>1417</x:v>
      </x:c>
      <x:c r="N262" s="25" t="n">
        <x:v>1500</x:v>
      </x:c>
      <x:c r="O262" s="25" t="n">
        <x:v>300</x:v>
      </x:c>
      <x:c r="P262" s="25" t="n">
        <x:f>L262+N262</x:f>
        <x:v>1520</x:v>
      </x:c>
      <x:c r="Q262" s="25" t="n">
        <x:f>M262+O262</x:f>
        <x:v>1717</x:v>
      </x:c>
      <x:c r="R262" s="25" t="n">
        <x:f>MAX(0,MIN(J262,P262)-MAX(F262,L262))</x:f>
        <x:v>1500</x:v>
      </x:c>
      <x:c r="S262" s="25" t="n">
        <x:f>MAX(0,MIN(K262,Q262)-MAX(G262,M262))</x:f>
        <x:v>0</x:v>
      </x:c>
      <x:c r="T262" s="25" t="n">
        <x:f>R262*S262</x:f>
        <x:v>0</x:v>
      </x:c>
      <x:c r="U262" s="24" t="str">
        <x:f>IF(T262&gt;0,"ERREUR chevauchement","OK aucun chevauchement")</x:f>
        <x:v>OK aucun chevauchement</x:v>
      </x:c>
      <x:c r="V262" s="24" t="str">
        <x:v>OK aucun chevauchement</x:v>
      </x:c>
      <x:c r="W262" s="24" t="str">
        <x:v>Si ERREUR : déplacer/redimensionner l’objet B ou créer un bookmark/masquage</x:v>
      </x:c>
    </x:row>
    <x:row r="263">
      <x:c r="A263" s="24" t="str">
        <x:v>Réseau MIA Tableau</x:v>
      </x:c>
      <x:c r="B263" s="24" t="str">
        <x:v>G01_Title_Zone</x:v>
      </x:c>
      <x:c r="C263" s="24" t="str">
        <x:v>Title_Zone</x:v>
      </x:c>
      <x:c r="D263" s="24" t="str">
        <x:v>G02_Toolbar</x:v>
      </x:c>
      <x:c r="E263" s="24" t="str">
        <x:v>Toolbar_Slicers_FieldParams</x:v>
      </x:c>
      <x:c r="F263" s="25" t="n">
        <x:v>20</x:v>
      </x:c>
      <x:c r="G263" s="25" t="n">
        <x:v>110</x:v>
      </x:c>
      <x:c r="H263" s="25" t="n">
        <x:v>1500</x:v>
      </x:c>
      <x:c r="I263" s="25" t="n">
        <x:v>132</x:v>
      </x:c>
      <x:c r="J263" s="25" t="n">
        <x:f>F263+H263</x:f>
        <x:v>1520</x:v>
      </x:c>
      <x:c r="K263" s="25" t="n">
        <x:f>G263+I263</x:f>
        <x:v>242</x:v>
      </x:c>
      <x:c r="L263" s="25" t="n">
        <x:v>20</x:v>
      </x:c>
      <x:c r="M263" s="25" t="n">
        <x:v>260</x:v>
      </x:c>
      <x:c r="N263" s="25" t="n">
        <x:v>1500</x:v>
      </x:c>
      <x:c r="O263" s="25" t="n">
        <x:v>56</x:v>
      </x:c>
      <x:c r="P263" s="25" t="n">
        <x:f>L263+N263</x:f>
        <x:v>1520</x:v>
      </x:c>
      <x:c r="Q263" s="25" t="n">
        <x:f>M263+O263</x:f>
        <x:v>316</x:v>
      </x:c>
      <x:c r="R263" s="25" t="n">
        <x:f>MAX(0,MIN(J263,P263)-MAX(F263,L263))</x:f>
        <x:v>1500</x:v>
      </x:c>
      <x:c r="S263" s="25" t="n">
        <x:f>MAX(0,MIN(K263,Q263)-MAX(G263,M263))</x:f>
        <x:v>0</x:v>
      </x:c>
      <x:c r="T263" s="25" t="n">
        <x:f>R263*S263</x:f>
        <x:v>0</x:v>
      </x:c>
      <x:c r="U263" s="24" t="str">
        <x:f>IF(T263&gt;0,"ERREUR chevauchement","OK aucun chevauchement")</x:f>
        <x:v>OK aucun chevauchement</x:v>
      </x:c>
      <x:c r="V263" s="24" t="str">
        <x:v>OK aucun chevauchement</x:v>
      </x:c>
      <x:c r="W263" s="24" t="str">
        <x:v>Si ERREUR : déplacer/redimensionner l’objet B ou créer un bookmark/masquage</x:v>
      </x:c>
    </x:row>
    <x:row r="264">
      <x:c r="A264" s="24" t="str">
        <x:v>Réseau MIA Tableau</x:v>
      </x:c>
      <x:c r="B264" s="24" t="str">
        <x:v>G01_Title_Zone</x:v>
      </x:c>
      <x:c r="C264" s="24" t="str">
        <x:v>Title_Zone</x:v>
      </x:c>
      <x:c r="D264" s="24" t="str">
        <x:v>G03_KPI_Row</x:v>
      </x:c>
      <x:c r="E264" s="24" t="str">
        <x:v>KPI_Card_01</x:v>
      </x:c>
      <x:c r="F264" s="25" t="n">
        <x:v>20</x:v>
      </x:c>
      <x:c r="G264" s="25" t="n">
        <x:v>110</x:v>
      </x:c>
      <x:c r="H264" s="25" t="n">
        <x:v>1500</x:v>
      </x:c>
      <x:c r="I264" s="25" t="n">
        <x:v>132</x:v>
      </x:c>
      <x:c r="J264" s="25" t="n">
        <x:f>F264+H264</x:f>
        <x:v>1520</x:v>
      </x:c>
      <x:c r="K264" s="25" t="n">
        <x:f>G264+I264</x:f>
        <x:v>242</x:v>
      </x:c>
      <x:c r="L264" s="25" t="n">
        <x:v>20</x:v>
      </x:c>
      <x:c r="M264" s="25" t="n">
        <x:v>330</x:v>
      </x:c>
      <x:c r="N264" s="25" t="n">
        <x:v>287</x:v>
      </x:c>
      <x:c r="O264" s="25" t="n">
        <x:v>180</x:v>
      </x:c>
      <x:c r="P264" s="25" t="n">
        <x:f>L264+N264</x:f>
        <x:v>307</x:v>
      </x:c>
      <x:c r="Q264" s="25" t="n">
        <x:f>M264+O264</x:f>
        <x:v>510</x:v>
      </x:c>
      <x:c r="R264" s="25" t="n">
        <x:f>MAX(0,MIN(J264,P264)-MAX(F264,L264))</x:f>
        <x:v>287</x:v>
      </x:c>
      <x:c r="S264" s="25" t="n">
        <x:f>MAX(0,MIN(K264,Q264)-MAX(G264,M264))</x:f>
        <x:v>0</x:v>
      </x:c>
      <x:c r="T264" s="25" t="n">
        <x:f>R264*S264</x:f>
        <x:v>0</x:v>
      </x:c>
      <x:c r="U264" s="24" t="str">
        <x:f>IF(T264&gt;0,"ERREUR chevauchement","OK aucun chevauchement")</x:f>
        <x:v>OK aucun chevauchement</x:v>
      </x:c>
      <x:c r="V264" s="24" t="str">
        <x:v>OK aucun chevauchement</x:v>
      </x:c>
      <x:c r="W264" s="24" t="str">
        <x:v>Si ERREUR : déplacer/redimensionner l’objet B ou créer un bookmark/masquage</x:v>
      </x:c>
    </x:row>
    <x:row r="265">
      <x:c r="A265" s="24" t="str">
        <x:v>Réseau MIA Tableau</x:v>
      </x:c>
      <x:c r="B265" s="24" t="str">
        <x:v>G01_Title_Zone</x:v>
      </x:c>
      <x:c r="C265" s="24" t="str">
        <x:v>Title_Zone</x:v>
      </x:c>
      <x:c r="D265" s="24" t="str">
        <x:v>G03_KPI_Row</x:v>
      </x:c>
      <x:c r="E265" s="24" t="str">
        <x:v>KPI_Card_02</x:v>
      </x:c>
      <x:c r="F265" s="25" t="n">
        <x:v>20</x:v>
      </x:c>
      <x:c r="G265" s="25" t="n">
        <x:v>110</x:v>
      </x:c>
      <x:c r="H265" s="25" t="n">
        <x:v>1500</x:v>
      </x:c>
      <x:c r="I265" s="25" t="n">
        <x:v>132</x:v>
      </x:c>
      <x:c r="J265" s="25" t="n">
        <x:f>F265+H265</x:f>
        <x:v>1520</x:v>
      </x:c>
      <x:c r="K265" s="25" t="n">
        <x:f>G265+I265</x:f>
        <x:v>242</x:v>
      </x:c>
      <x:c r="L265" s="25" t="n">
        <x:v>323</x:v>
      </x:c>
      <x:c r="M265" s="25" t="n">
        <x:v>330</x:v>
      </x:c>
      <x:c r="N265" s="25" t="n">
        <x:v>287</x:v>
      </x:c>
      <x:c r="O265" s="25" t="n">
        <x:v>180</x:v>
      </x:c>
      <x:c r="P265" s="25" t="n">
        <x:f>L265+N265</x:f>
        <x:v>610</x:v>
      </x:c>
      <x:c r="Q265" s="25" t="n">
        <x:f>M265+O265</x:f>
        <x:v>510</x:v>
      </x:c>
      <x:c r="R265" s="25" t="n">
        <x:f>MAX(0,MIN(J265,P265)-MAX(F265,L265))</x:f>
        <x:v>287</x:v>
      </x:c>
      <x:c r="S265" s="25" t="n">
        <x:f>MAX(0,MIN(K265,Q265)-MAX(G265,M265))</x:f>
        <x:v>0</x:v>
      </x:c>
      <x:c r="T265" s="25" t="n">
        <x:f>R265*S265</x:f>
        <x:v>0</x:v>
      </x:c>
      <x:c r="U265" s="24" t="str">
        <x:f>IF(T265&gt;0,"ERREUR chevauchement","OK aucun chevauchement")</x:f>
        <x:v>OK aucun chevauchement</x:v>
      </x:c>
      <x:c r="V265" s="24" t="str">
        <x:v>OK aucun chevauchement</x:v>
      </x:c>
      <x:c r="W265" s="24" t="str">
        <x:v>Si ERREUR : déplacer/redimensionner l’objet B ou créer un bookmark/masquage</x:v>
      </x:c>
    </x:row>
    <x:row r="266">
      <x:c r="A266" s="24" t="str">
        <x:v>Réseau MIA Tableau</x:v>
      </x:c>
      <x:c r="B266" s="24" t="str">
        <x:v>G01_Title_Zone</x:v>
      </x:c>
      <x:c r="C266" s="24" t="str">
        <x:v>Title_Zone</x:v>
      </x:c>
      <x:c r="D266" s="24" t="str">
        <x:v>G03_KPI_Row</x:v>
      </x:c>
      <x:c r="E266" s="24" t="str">
        <x:v>KPI_Card_03</x:v>
      </x:c>
      <x:c r="F266" s="25" t="n">
        <x:v>20</x:v>
      </x:c>
      <x:c r="G266" s="25" t="n">
        <x:v>110</x:v>
      </x:c>
      <x:c r="H266" s="25" t="n">
        <x:v>1500</x:v>
      </x:c>
      <x:c r="I266" s="25" t="n">
        <x:v>132</x:v>
      </x:c>
      <x:c r="J266" s="25" t="n">
        <x:f>F266+H266</x:f>
        <x:v>1520</x:v>
      </x:c>
      <x:c r="K266" s="25" t="n">
        <x:f>G266+I266</x:f>
        <x:v>242</x:v>
      </x:c>
      <x:c r="L266" s="25" t="n">
        <x:v>626</x:v>
      </x:c>
      <x:c r="M266" s="25" t="n">
        <x:v>330</x:v>
      </x:c>
      <x:c r="N266" s="25" t="n">
        <x:v>287</x:v>
      </x:c>
      <x:c r="O266" s="25" t="n">
        <x:v>180</x:v>
      </x:c>
      <x:c r="P266" s="25" t="n">
        <x:f>L266+N266</x:f>
        <x:v>913</x:v>
      </x:c>
      <x:c r="Q266" s="25" t="n">
        <x:f>M266+O266</x:f>
        <x:v>510</x:v>
      </x:c>
      <x:c r="R266" s="25" t="n">
        <x:f>MAX(0,MIN(J266,P266)-MAX(F266,L266))</x:f>
        <x:v>287</x:v>
      </x:c>
      <x:c r="S266" s="25" t="n">
        <x:f>MAX(0,MIN(K266,Q266)-MAX(G266,M266))</x:f>
        <x:v>0</x:v>
      </x:c>
      <x:c r="T266" s="25" t="n">
        <x:f>R266*S266</x:f>
        <x:v>0</x:v>
      </x:c>
      <x:c r="U266" s="24" t="str">
        <x:f>IF(T266&gt;0,"ERREUR chevauchement","OK aucun chevauchement")</x:f>
        <x:v>OK aucun chevauchement</x:v>
      </x:c>
      <x:c r="V266" s="24" t="str">
        <x:v>OK aucun chevauchement</x:v>
      </x:c>
      <x:c r="W266" s="24" t="str">
        <x:v>Si ERREUR : déplacer/redimensionner l’objet B ou créer un bookmark/masquage</x:v>
      </x:c>
    </x:row>
    <x:row r="267">
      <x:c r="A267" s="24" t="str">
        <x:v>Réseau MIA Tableau</x:v>
      </x:c>
      <x:c r="B267" s="24" t="str">
        <x:v>G01_Title_Zone</x:v>
      </x:c>
      <x:c r="C267" s="24" t="str">
        <x:v>Title_Zone</x:v>
      </x:c>
      <x:c r="D267" s="24" t="str">
        <x:v>G03_KPI_Row</x:v>
      </x:c>
      <x:c r="E267" s="24" t="str">
        <x:v>KPI_Card_04</x:v>
      </x:c>
      <x:c r="F267" s="25" t="n">
        <x:v>20</x:v>
      </x:c>
      <x:c r="G267" s="25" t="n">
        <x:v>110</x:v>
      </x:c>
      <x:c r="H267" s="25" t="n">
        <x:v>1500</x:v>
      </x:c>
      <x:c r="I267" s="25" t="n">
        <x:v>132</x:v>
      </x:c>
      <x:c r="J267" s="25" t="n">
        <x:f>F267+H267</x:f>
        <x:v>1520</x:v>
      </x:c>
      <x:c r="K267" s="25" t="n">
        <x:f>G267+I267</x:f>
        <x:v>242</x:v>
      </x:c>
      <x:c r="L267" s="25" t="n">
        <x:v>929</x:v>
      </x:c>
      <x:c r="M267" s="25" t="n">
        <x:v>330</x:v>
      </x:c>
      <x:c r="N267" s="25" t="n">
        <x:v>287</x:v>
      </x:c>
      <x:c r="O267" s="25" t="n">
        <x:v>180</x:v>
      </x:c>
      <x:c r="P267" s="25" t="n">
        <x:f>L267+N267</x:f>
        <x:v>1216</x:v>
      </x:c>
      <x:c r="Q267" s="25" t="n">
        <x:f>M267+O267</x:f>
        <x:v>510</x:v>
      </x:c>
      <x:c r="R267" s="25" t="n">
        <x:f>MAX(0,MIN(J267,P267)-MAX(F267,L267))</x:f>
        <x:v>287</x:v>
      </x:c>
      <x:c r="S267" s="25" t="n">
        <x:f>MAX(0,MIN(K267,Q267)-MAX(G267,M267))</x:f>
        <x:v>0</x:v>
      </x:c>
      <x:c r="T267" s="25" t="n">
        <x:f>R267*S267</x:f>
        <x:v>0</x:v>
      </x:c>
      <x:c r="U267" s="24" t="str">
        <x:f>IF(T267&gt;0,"ERREUR chevauchement","OK aucun chevauchement")</x:f>
        <x:v>OK aucun chevauchement</x:v>
      </x:c>
      <x:c r="V267" s="24" t="str">
        <x:v>OK aucun chevauchement</x:v>
      </x:c>
      <x:c r="W267" s="24" t="str">
        <x:v>Si ERREUR : déplacer/redimensionner l’objet B ou créer un bookmark/masquage</x:v>
      </x:c>
    </x:row>
    <x:row r="268">
      <x:c r="A268" s="24" t="str">
        <x:v>Réseau MIA Tableau</x:v>
      </x:c>
      <x:c r="B268" s="24" t="str">
        <x:v>G01_Title_Zone</x:v>
      </x:c>
      <x:c r="C268" s="24" t="str">
        <x:v>Title_Zone</x:v>
      </x:c>
      <x:c r="D268" s="24" t="str">
        <x:v>G03_KPI_Row</x:v>
      </x:c>
      <x:c r="E268" s="24" t="str">
        <x:v>KPI_Card_05</x:v>
      </x:c>
      <x:c r="F268" s="25" t="n">
        <x:v>20</x:v>
      </x:c>
      <x:c r="G268" s="25" t="n">
        <x:v>110</x:v>
      </x:c>
      <x:c r="H268" s="25" t="n">
        <x:v>1500</x:v>
      </x:c>
      <x:c r="I268" s="25" t="n">
        <x:v>132</x:v>
      </x:c>
      <x:c r="J268" s="25" t="n">
        <x:f>F268+H268</x:f>
        <x:v>1520</x:v>
      </x:c>
      <x:c r="K268" s="25" t="n">
        <x:f>G268+I268</x:f>
        <x:v>242</x:v>
      </x:c>
      <x:c r="L268" s="25" t="n">
        <x:v>1232</x:v>
      </x:c>
      <x:c r="M268" s="25" t="n">
        <x:v>330</x:v>
      </x:c>
      <x:c r="N268" s="25" t="n">
        <x:v>287</x:v>
      </x:c>
      <x:c r="O268" s="25" t="n">
        <x:v>180</x:v>
      </x:c>
      <x:c r="P268" s="25" t="n">
        <x:f>L268+N268</x:f>
        <x:v>1519</x:v>
      </x:c>
      <x:c r="Q268" s="25" t="n">
        <x:f>M268+O268</x:f>
        <x:v>510</x:v>
      </x:c>
      <x:c r="R268" s="25" t="n">
        <x:f>MAX(0,MIN(J268,P268)-MAX(F268,L268))</x:f>
        <x:v>287</x:v>
      </x:c>
      <x:c r="S268" s="25" t="n">
        <x:f>MAX(0,MIN(K268,Q268)-MAX(G268,M268))</x:f>
        <x:v>0</x:v>
      </x:c>
      <x:c r="T268" s="25" t="n">
        <x:f>R268*S268</x:f>
        <x:v>0</x:v>
      </x:c>
      <x:c r="U268" s="24" t="str">
        <x:f>IF(T268&gt;0,"ERREUR chevauchement","OK aucun chevauchement")</x:f>
        <x:v>OK aucun chevauchement</x:v>
      </x:c>
      <x:c r="V268" s="24" t="str">
        <x:v>OK aucun chevauchement</x:v>
      </x:c>
      <x:c r="W268" s="24" t="str">
        <x:v>Si ERREUR : déplacer/redimensionner l’objet B ou créer un bookmark/masquage</x:v>
      </x:c>
    </x:row>
    <x:row r="269">
      <x:c r="A269" s="24" t="str">
        <x:v>Réseau MIA Tableau</x:v>
      </x:c>
      <x:c r="B269" s="24" t="str">
        <x:v>G01_Title_Zone</x:v>
      </x:c>
      <x:c r="C269" s="24" t="str">
        <x:v>Title_Zone</x:v>
      </x:c>
      <x:c r="D269" s="24" t="str">
        <x:v>G04_Map_Main</x:v>
      </x:c>
      <x:c r="E269" s="24" t="str">
        <x:v>Map_Carte_France</x:v>
      </x:c>
      <x:c r="F269" s="25" t="n">
        <x:v>20</x:v>
      </x:c>
      <x:c r="G269" s="25" t="n">
        <x:v>110</x:v>
      </x:c>
      <x:c r="H269" s="25" t="n">
        <x:v>1500</x:v>
      </x:c>
      <x:c r="I269" s="25" t="n">
        <x:v>132</x:v>
      </x:c>
      <x:c r="J269" s="25" t="n">
        <x:f>F269+H269</x:f>
        <x:v>1520</x:v>
      </x:c>
      <x:c r="K269" s="25" t="n">
        <x:f>G269+I269</x:f>
        <x:v>242</x:v>
      </x:c>
      <x:c r="L269" s="25" t="n">
        <x:v>20</x:v>
      </x:c>
      <x:c r="M269" s="25" t="n">
        <x:v>535</x:v>
      </x:c>
      <x:c r="N269" s="25" t="n">
        <x:v>830</x:v>
      </x:c>
      <x:c r="O269" s="25" t="n">
        <x:v>560</x:v>
      </x:c>
      <x:c r="P269" s="25" t="n">
        <x:f>L269+N269</x:f>
        <x:v>850</x:v>
      </x:c>
      <x:c r="Q269" s="25" t="n">
        <x:f>M269+O269</x:f>
        <x:v>1095</x:v>
      </x:c>
      <x:c r="R269" s="25" t="n">
        <x:f>MAX(0,MIN(J269,P269)-MAX(F269,L269))</x:f>
        <x:v>830</x:v>
      </x:c>
      <x:c r="S269" s="25" t="n">
        <x:f>MAX(0,MIN(K269,Q269)-MAX(G269,M269))</x:f>
        <x:v>0</x:v>
      </x:c>
      <x:c r="T269" s="25" t="n">
        <x:f>R269*S269</x:f>
        <x:v>0</x:v>
      </x:c>
      <x:c r="U269" s="24" t="str">
        <x:f>IF(T269&gt;0,"ERREUR chevauchement","OK aucun chevauchement")</x:f>
        <x:v>OK aucun chevauchement</x:v>
      </x:c>
      <x:c r="V269" s="24" t="str">
        <x:v>OK aucun chevauchement</x:v>
      </x:c>
      <x:c r="W269" s="24" t="str">
        <x:v>Si ERREUR : déplacer/redimensionner l’objet B ou créer un bookmark/masquage</x:v>
      </x:c>
    </x:row>
    <x:row r="270">
      <x:c r="A270" s="24" t="str">
        <x:v>Réseau MIA Tableau</x:v>
      </x:c>
      <x:c r="B270" s="24" t="str">
        <x:v>G01_Title_Zone</x:v>
      </x:c>
      <x:c r="C270" s="24" t="str">
        <x:v>Title_Zone</x:v>
      </x:c>
      <x:c r="D270" s="24" t="str">
        <x:v>G05_Right_Analytics</x:v>
      </x:c>
      <x:c r="E270" s="24" t="str">
        <x:v>Donut_CSP</x:v>
      </x:c>
      <x:c r="F270" s="25" t="n">
        <x:v>20</x:v>
      </x:c>
      <x:c r="G270" s="25" t="n">
        <x:v>110</x:v>
      </x:c>
      <x:c r="H270" s="25" t="n">
        <x:v>1500</x:v>
      </x:c>
      <x:c r="I270" s="25" t="n">
        <x:v>132</x:v>
      </x:c>
      <x:c r="J270" s="25" t="n">
        <x:f>F270+H270</x:f>
        <x:v>1520</x:v>
      </x:c>
      <x:c r="K270" s="25" t="n">
        <x:f>G270+I270</x:f>
        <x:v>242</x:v>
      </x:c>
      <x:c r="L270" s="25" t="n">
        <x:v>866</x:v>
      </x:c>
      <x:c r="M270" s="25" t="n">
        <x:v>535</x:v>
      </x:c>
      <x:c r="N270" s="25" t="n">
        <x:v>316</x:v>
      </x:c>
      <x:c r="O270" s="25" t="n">
        <x:v>300</x:v>
      </x:c>
      <x:c r="P270" s="25" t="n">
        <x:f>L270+N270</x:f>
        <x:v>1182</x:v>
      </x:c>
      <x:c r="Q270" s="25" t="n">
        <x:f>M270+O270</x:f>
        <x:v>835</x:v>
      </x:c>
      <x:c r="R270" s="25" t="n">
        <x:f>MAX(0,MIN(J270,P270)-MAX(F270,L270))</x:f>
        <x:v>316</x:v>
      </x:c>
      <x:c r="S270" s="25" t="n">
        <x:f>MAX(0,MIN(K270,Q270)-MAX(G270,M270))</x:f>
        <x:v>0</x:v>
      </x:c>
      <x:c r="T270" s="25" t="n">
        <x:f>R270*S270</x:f>
        <x:v>0</x:v>
      </x:c>
      <x:c r="U270" s="24" t="str">
        <x:f>IF(T270&gt;0,"ERREUR chevauchement","OK aucun chevauchement")</x:f>
        <x:v>OK aucun chevauchement</x:v>
      </x:c>
      <x:c r="V270" s="24" t="str">
        <x:v>OK aucun chevauchement</x:v>
      </x:c>
      <x:c r="W270" s="24" t="str">
        <x:v>Si ERREUR : déplacer/redimensionner l’objet B ou créer un bookmark/masquage</x:v>
      </x:c>
    </x:row>
    <x:row r="271">
      <x:c r="A271" s="24" t="str">
        <x:v>Réseau MIA Tableau</x:v>
      </x:c>
      <x:c r="B271" s="24" t="str">
        <x:v>G01_Title_Zone</x:v>
      </x:c>
      <x:c r="C271" s="24" t="str">
        <x:v>Title_Zone</x:v>
      </x:c>
      <x:c r="D271" s="24" t="str">
        <x:v>G05_Right_Analytics</x:v>
      </x:c>
      <x:c r="E271" s="24" t="str">
        <x:v>Donut_MIA</x:v>
      </x:c>
      <x:c r="F271" s="25" t="n">
        <x:v>20</x:v>
      </x:c>
      <x:c r="G271" s="25" t="n">
        <x:v>110</x:v>
      </x:c>
      <x:c r="H271" s="25" t="n">
        <x:v>1500</x:v>
      </x:c>
      <x:c r="I271" s="25" t="n">
        <x:v>132</x:v>
      </x:c>
      <x:c r="J271" s="25" t="n">
        <x:f>F271+H271</x:f>
        <x:v>1520</x:v>
      </x:c>
      <x:c r="K271" s="25" t="n">
        <x:f>G271+I271</x:f>
        <x:v>242</x:v>
      </x:c>
      <x:c r="L271" s="25" t="n">
        <x:v>1198</x:v>
      </x:c>
      <x:c r="M271" s="25" t="n">
        <x:v>535</x:v>
      </x:c>
      <x:c r="N271" s="25" t="n">
        <x:v>322</x:v>
      </x:c>
      <x:c r="O271" s="25" t="n">
        <x:v>300</x:v>
      </x:c>
      <x:c r="P271" s="25" t="n">
        <x:f>L271+N271</x:f>
        <x:v>1520</x:v>
      </x:c>
      <x:c r="Q271" s="25" t="n">
        <x:f>M271+O271</x:f>
        <x:v>835</x:v>
      </x:c>
      <x:c r="R271" s="25" t="n">
        <x:f>MAX(0,MIN(J271,P271)-MAX(F271,L271))</x:f>
        <x:v>322</x:v>
      </x:c>
      <x:c r="S271" s="25" t="n">
        <x:f>MAX(0,MIN(K271,Q271)-MAX(G271,M271))</x:f>
        <x:v>0</x:v>
      </x:c>
      <x:c r="T271" s="25" t="n">
        <x:f>R271*S271</x:f>
        <x:v>0</x:v>
      </x:c>
      <x:c r="U271" s="24" t="str">
        <x:f>IF(T271&gt;0,"ERREUR chevauchement","OK aucun chevauchement")</x:f>
        <x:v>OK aucun chevauchement</x:v>
      </x:c>
      <x:c r="V271" s="24" t="str">
        <x:v>OK aucun chevauchement</x:v>
      </x:c>
      <x:c r="W271" s="24" t="str">
        <x:v>Si ERREUR : déplacer/redimensionner l’objet B ou créer un bookmark/masquage</x:v>
      </x:c>
    </x:row>
    <x:row r="272">
      <x:c r="A272" s="24" t="str">
        <x:v>Réseau MIA Tableau</x:v>
      </x:c>
      <x:c r="B272" s="24" t="str">
        <x:v>G01_Title_Zone</x:v>
      </x:c>
      <x:c r="C272" s="24" t="str">
        <x:v>Title_Zone</x:v>
      </x:c>
      <x:c r="D272" s="24" t="str">
        <x:v>G05_Right_Analytics</x:v>
      </x:c>
      <x:c r="E272" s="24" t="str">
        <x:v>Tableau_Compact</x:v>
      </x:c>
      <x:c r="F272" s="25" t="n">
        <x:v>20</x:v>
      </x:c>
      <x:c r="G272" s="25" t="n">
        <x:v>110</x:v>
      </x:c>
      <x:c r="H272" s="25" t="n">
        <x:v>1500</x:v>
      </x:c>
      <x:c r="I272" s="25" t="n">
        <x:v>132</x:v>
      </x:c>
      <x:c r="J272" s="25" t="n">
        <x:f>F272+H272</x:f>
        <x:v>1520</x:v>
      </x:c>
      <x:c r="K272" s="25" t="n">
        <x:f>G272+I272</x:f>
        <x:v>242</x:v>
      </x:c>
      <x:c r="L272" s="25" t="n">
        <x:v>866</x:v>
      </x:c>
      <x:c r="M272" s="25" t="n">
        <x:v>851</x:v>
      </x:c>
      <x:c r="N272" s="25" t="n">
        <x:v>654</x:v>
      </x:c>
      <x:c r="O272" s="25" t="n">
        <x:v>230</x:v>
      </x:c>
      <x:c r="P272" s="25" t="n">
        <x:f>L272+N272</x:f>
        <x:v>1520</x:v>
      </x:c>
      <x:c r="Q272" s="25" t="n">
        <x:f>M272+O272</x:f>
        <x:v>1081</x:v>
      </x:c>
      <x:c r="R272" s="25" t="n">
        <x:f>MAX(0,MIN(J272,P272)-MAX(F272,L272))</x:f>
        <x:v>654</x:v>
      </x:c>
      <x:c r="S272" s="25" t="n">
        <x:f>MAX(0,MIN(K272,Q272)-MAX(G272,M272))</x:f>
        <x:v>0</x:v>
      </x:c>
      <x:c r="T272" s="25" t="n">
        <x:f>R272*S272</x:f>
        <x:v>0</x:v>
      </x:c>
      <x:c r="U272" s="24" t="str">
        <x:f>IF(T272&gt;0,"ERREUR chevauchement","OK aucun chevauchement")</x:f>
        <x:v>OK aucun chevauchement</x:v>
      </x:c>
      <x:c r="V272" s="24" t="str">
        <x:v>OK aucun chevauchement</x:v>
      </x:c>
      <x:c r="W272" s="24" t="str">
        <x:v>Si ERREUR : déplacer/redimensionner l’objet B ou créer un bookmark/masquage</x:v>
      </x:c>
    </x:row>
    <x:row r="273">
      <x:c r="A273" s="24" t="str">
        <x:v>Réseau MIA Tableau</x:v>
      </x:c>
      <x:c r="B273" s="24" t="str">
        <x:v>G01_Title_Zone</x:v>
      </x:c>
      <x:c r="C273" s="24" t="str">
        <x:v>Title_Zone</x:v>
      </x:c>
      <x:c r="D273" s="24" t="str">
        <x:v>G05_Right_Analytics</x:v>
      </x:c>
      <x:c r="E273" s="24" t="str">
        <x:v>Bar_MIA_Productifs</x:v>
      </x:c>
      <x:c r="F273" s="25" t="n">
        <x:v>20</x:v>
      </x:c>
      <x:c r="G273" s="25" t="n">
        <x:v>110</x:v>
      </x:c>
      <x:c r="H273" s="25" t="n">
        <x:v>1500</x:v>
      </x:c>
      <x:c r="I273" s="25" t="n">
        <x:v>132</x:v>
      </x:c>
      <x:c r="J273" s="25" t="n">
        <x:f>F273+H273</x:f>
        <x:v>1520</x:v>
      </x:c>
      <x:c r="K273" s="25" t="n">
        <x:f>G273+I273</x:f>
        <x:v>242</x:v>
      </x:c>
      <x:c r="L273" s="25" t="n">
        <x:v>866</x:v>
      </x:c>
      <x:c r="M273" s="25" t="n">
        <x:v>1097</x:v>
      </x:c>
      <x:c r="N273" s="25" t="n">
        <x:v>654</x:v>
      </x:c>
      <x:c r="O273" s="25" t="n">
        <x:v>300</x:v>
      </x:c>
      <x:c r="P273" s="25" t="n">
        <x:f>L273+N273</x:f>
        <x:v>1520</x:v>
      </x:c>
      <x:c r="Q273" s="25" t="n">
        <x:f>M273+O273</x:f>
        <x:v>1397</x:v>
      </x:c>
      <x:c r="R273" s="25" t="n">
        <x:f>MAX(0,MIN(J273,P273)-MAX(F273,L273))</x:f>
        <x:v>654</x:v>
      </x:c>
      <x:c r="S273" s="25" t="n">
        <x:f>MAX(0,MIN(K273,Q273)-MAX(G273,M273))</x:f>
        <x:v>0</x:v>
      </x:c>
      <x:c r="T273" s="25" t="n">
        <x:f>R273*S273</x:f>
        <x:v>0</x:v>
      </x:c>
      <x:c r="U273" s="24" t="str">
        <x:f>IF(T273&gt;0,"ERREUR chevauchement","OK aucun chevauchement")</x:f>
        <x:v>OK aucun chevauchement</x:v>
      </x:c>
      <x:c r="V273" s="24" t="str">
        <x:v>OK aucun chevauchement</x:v>
      </x:c>
      <x:c r="W273" s="24" t="str">
        <x:v>Si ERREUR : déplacer/redimensionner l’objet B ou créer un bookmark/masquage</x:v>
      </x:c>
    </x:row>
    <x:row r="274">
      <x:c r="A274" s="24" t="str">
        <x:v>Réseau MIA Tableau</x:v>
      </x:c>
      <x:c r="B274" s="24" t="str">
        <x:v>G01_Title_Zone</x:v>
      </x:c>
      <x:c r="C274" s="24" t="str">
        <x:v>Title_Zone</x:v>
      </x:c>
      <x:c r="D274" s="24" t="str">
        <x:v>G06_Table_Detail</x:v>
      </x:c>
      <x:c r="E274" s="24" t="str">
        <x:v>Tableau_Reseau_Detaille</x:v>
      </x:c>
      <x:c r="F274" s="25" t="n">
        <x:v>20</x:v>
      </x:c>
      <x:c r="G274" s="25" t="n">
        <x:v>110</x:v>
      </x:c>
      <x:c r="H274" s="25" t="n">
        <x:v>1500</x:v>
      </x:c>
      <x:c r="I274" s="25" t="n">
        <x:v>132</x:v>
      </x:c>
      <x:c r="J274" s="25" t="n">
        <x:f>F274+H274</x:f>
        <x:v>1520</x:v>
      </x:c>
      <x:c r="K274" s="25" t="n">
        <x:f>G274+I274</x:f>
        <x:v>242</x:v>
      </x:c>
      <x:c r="L274" s="25" t="n">
        <x:v>20</x:v>
      </x:c>
      <x:c r="M274" s="25" t="n">
        <x:v>1417</x:v>
      </x:c>
      <x:c r="N274" s="25" t="n">
        <x:v>1500</x:v>
      </x:c>
      <x:c r="O274" s="25" t="n">
        <x:v>300</x:v>
      </x:c>
      <x:c r="P274" s="25" t="n">
        <x:f>L274+N274</x:f>
        <x:v>1520</x:v>
      </x:c>
      <x:c r="Q274" s="25" t="n">
        <x:f>M274+O274</x:f>
        <x:v>1717</x:v>
      </x:c>
      <x:c r="R274" s="25" t="n">
        <x:f>MAX(0,MIN(J274,P274)-MAX(F274,L274))</x:f>
        <x:v>1500</x:v>
      </x:c>
      <x:c r="S274" s="25" t="n">
        <x:f>MAX(0,MIN(K274,Q274)-MAX(G274,M274))</x:f>
        <x:v>0</x:v>
      </x:c>
      <x:c r="T274" s="25" t="n">
        <x:f>R274*S274</x:f>
        <x:v>0</x:v>
      </x:c>
      <x:c r="U274" s="24" t="str">
        <x:f>IF(T274&gt;0,"ERREUR chevauchement","OK aucun chevauchement")</x:f>
        <x:v>OK aucun chevauchement</x:v>
      </x:c>
      <x:c r="V274" s="24" t="str">
        <x:v>OK aucun chevauchement</x:v>
      </x:c>
      <x:c r="W274" s="24" t="str">
        <x:v>Si ERREUR : déplacer/redimensionner l’objet B ou créer un bookmark/masquage</x:v>
      </x:c>
    </x:row>
    <x:row r="275">
      <x:c r="A275" s="24" t="str">
        <x:v>Réseau MIA Tableau</x:v>
      </x:c>
      <x:c r="B275" s="24" t="str">
        <x:v>G02_Toolbar</x:v>
      </x:c>
      <x:c r="C275" s="24" t="str">
        <x:v>Toolbar_Slicers_FieldParams</x:v>
      </x:c>
      <x:c r="D275" s="24" t="str">
        <x:v>G03_KPI_Row</x:v>
      </x:c>
      <x:c r="E275" s="24" t="str">
        <x:v>KPI_Card_01</x:v>
      </x:c>
      <x:c r="F275" s="25" t="n">
        <x:v>20</x:v>
      </x:c>
      <x:c r="G275" s="25" t="n">
        <x:v>260</x:v>
      </x:c>
      <x:c r="H275" s="25" t="n">
        <x:v>1500</x:v>
      </x:c>
      <x:c r="I275" s="25" t="n">
        <x:v>56</x:v>
      </x:c>
      <x:c r="J275" s="25" t="n">
        <x:f>F275+H275</x:f>
        <x:v>1520</x:v>
      </x:c>
      <x:c r="K275" s="25" t="n">
        <x:f>G275+I275</x:f>
        <x:v>316</x:v>
      </x:c>
      <x:c r="L275" s="25" t="n">
        <x:v>20</x:v>
      </x:c>
      <x:c r="M275" s="25" t="n">
        <x:v>330</x:v>
      </x:c>
      <x:c r="N275" s="25" t="n">
        <x:v>287</x:v>
      </x:c>
      <x:c r="O275" s="25" t="n">
        <x:v>180</x:v>
      </x:c>
      <x:c r="P275" s="25" t="n">
        <x:f>L275+N275</x:f>
        <x:v>307</x:v>
      </x:c>
      <x:c r="Q275" s="25" t="n">
        <x:f>M275+O275</x:f>
        <x:v>510</x:v>
      </x:c>
      <x:c r="R275" s="25" t="n">
        <x:f>MAX(0,MIN(J275,P275)-MAX(F275,L275))</x:f>
        <x:v>287</x:v>
      </x:c>
      <x:c r="S275" s="25" t="n">
        <x:f>MAX(0,MIN(K275,Q275)-MAX(G275,M275))</x:f>
        <x:v>0</x:v>
      </x:c>
      <x:c r="T275" s="25" t="n">
        <x:f>R275*S275</x:f>
        <x:v>0</x:v>
      </x:c>
      <x:c r="U275" s="24" t="str">
        <x:f>IF(T275&gt;0,"ERREUR chevauchement","OK aucun chevauchement")</x:f>
        <x:v>OK aucun chevauchement</x:v>
      </x:c>
      <x:c r="V275" s="24" t="str">
        <x:v>OK aucun chevauchement</x:v>
      </x:c>
      <x:c r="W275" s="24" t="str">
        <x:v>Si ERREUR : déplacer/redimensionner l’objet B ou créer un bookmark/masquage</x:v>
      </x:c>
    </x:row>
    <x:row r="276">
      <x:c r="A276" s="24" t="str">
        <x:v>Réseau MIA Tableau</x:v>
      </x:c>
      <x:c r="B276" s="24" t="str">
        <x:v>G02_Toolbar</x:v>
      </x:c>
      <x:c r="C276" s="24" t="str">
        <x:v>Toolbar_Slicers_FieldParams</x:v>
      </x:c>
      <x:c r="D276" s="24" t="str">
        <x:v>G03_KPI_Row</x:v>
      </x:c>
      <x:c r="E276" s="24" t="str">
        <x:v>KPI_Card_02</x:v>
      </x:c>
      <x:c r="F276" s="25" t="n">
        <x:v>20</x:v>
      </x:c>
      <x:c r="G276" s="25" t="n">
        <x:v>260</x:v>
      </x:c>
      <x:c r="H276" s="25" t="n">
        <x:v>1500</x:v>
      </x:c>
      <x:c r="I276" s="25" t="n">
        <x:v>56</x:v>
      </x:c>
      <x:c r="J276" s="25" t="n">
        <x:f>F276+H276</x:f>
        <x:v>1520</x:v>
      </x:c>
      <x:c r="K276" s="25" t="n">
        <x:f>G276+I276</x:f>
        <x:v>316</x:v>
      </x:c>
      <x:c r="L276" s="25" t="n">
        <x:v>323</x:v>
      </x:c>
      <x:c r="M276" s="25" t="n">
        <x:v>330</x:v>
      </x:c>
      <x:c r="N276" s="25" t="n">
        <x:v>287</x:v>
      </x:c>
      <x:c r="O276" s="25" t="n">
        <x:v>180</x:v>
      </x:c>
      <x:c r="P276" s="25" t="n">
        <x:f>L276+N276</x:f>
        <x:v>610</x:v>
      </x:c>
      <x:c r="Q276" s="25" t="n">
        <x:f>M276+O276</x:f>
        <x:v>510</x:v>
      </x:c>
      <x:c r="R276" s="25" t="n">
        <x:f>MAX(0,MIN(J276,P276)-MAX(F276,L276))</x:f>
        <x:v>287</x:v>
      </x:c>
      <x:c r="S276" s="25" t="n">
        <x:f>MAX(0,MIN(K276,Q276)-MAX(G276,M276))</x:f>
        <x:v>0</x:v>
      </x:c>
      <x:c r="T276" s="25" t="n">
        <x:f>R276*S276</x:f>
        <x:v>0</x:v>
      </x:c>
      <x:c r="U276" s="24" t="str">
        <x:f>IF(T276&gt;0,"ERREUR chevauchement","OK aucun chevauchement")</x:f>
        <x:v>OK aucun chevauchement</x:v>
      </x:c>
      <x:c r="V276" s="24" t="str">
        <x:v>OK aucun chevauchement</x:v>
      </x:c>
      <x:c r="W276" s="24" t="str">
        <x:v>Si ERREUR : déplacer/redimensionner l’objet B ou créer un bookmark/masquage</x:v>
      </x:c>
    </x:row>
    <x:row r="277">
      <x:c r="A277" s="24" t="str">
        <x:v>Réseau MIA Tableau</x:v>
      </x:c>
      <x:c r="B277" s="24" t="str">
        <x:v>G02_Toolbar</x:v>
      </x:c>
      <x:c r="C277" s="24" t="str">
        <x:v>Toolbar_Slicers_FieldParams</x:v>
      </x:c>
      <x:c r="D277" s="24" t="str">
        <x:v>G03_KPI_Row</x:v>
      </x:c>
      <x:c r="E277" s="24" t="str">
        <x:v>KPI_Card_03</x:v>
      </x:c>
      <x:c r="F277" s="25" t="n">
        <x:v>20</x:v>
      </x:c>
      <x:c r="G277" s="25" t="n">
        <x:v>260</x:v>
      </x:c>
      <x:c r="H277" s="25" t="n">
        <x:v>1500</x:v>
      </x:c>
      <x:c r="I277" s="25" t="n">
        <x:v>56</x:v>
      </x:c>
      <x:c r="J277" s="25" t="n">
        <x:f>F277+H277</x:f>
        <x:v>1520</x:v>
      </x:c>
      <x:c r="K277" s="25" t="n">
        <x:f>G277+I277</x:f>
        <x:v>316</x:v>
      </x:c>
      <x:c r="L277" s="25" t="n">
        <x:v>626</x:v>
      </x:c>
      <x:c r="M277" s="25" t="n">
        <x:v>330</x:v>
      </x:c>
      <x:c r="N277" s="25" t="n">
        <x:v>287</x:v>
      </x:c>
      <x:c r="O277" s="25" t="n">
        <x:v>180</x:v>
      </x:c>
      <x:c r="P277" s="25" t="n">
        <x:f>L277+N277</x:f>
        <x:v>913</x:v>
      </x:c>
      <x:c r="Q277" s="25" t="n">
        <x:f>M277+O277</x:f>
        <x:v>510</x:v>
      </x:c>
      <x:c r="R277" s="25" t="n">
        <x:f>MAX(0,MIN(J277,P277)-MAX(F277,L277))</x:f>
        <x:v>287</x:v>
      </x:c>
      <x:c r="S277" s="25" t="n">
        <x:f>MAX(0,MIN(K277,Q277)-MAX(G277,M277))</x:f>
        <x:v>0</x:v>
      </x:c>
      <x:c r="T277" s="25" t="n">
        <x:f>R277*S277</x:f>
        <x:v>0</x:v>
      </x:c>
      <x:c r="U277" s="24" t="str">
        <x:f>IF(T277&gt;0,"ERREUR chevauchement","OK aucun chevauchement")</x:f>
        <x:v>OK aucun chevauchement</x:v>
      </x:c>
      <x:c r="V277" s="24" t="str">
        <x:v>OK aucun chevauchement</x:v>
      </x:c>
      <x:c r="W277" s="24" t="str">
        <x:v>Si ERREUR : déplacer/redimensionner l’objet B ou créer un bookmark/masquage</x:v>
      </x:c>
    </x:row>
    <x:row r="278">
      <x:c r="A278" s="24" t="str">
        <x:v>Réseau MIA Tableau</x:v>
      </x:c>
      <x:c r="B278" s="24" t="str">
        <x:v>G02_Toolbar</x:v>
      </x:c>
      <x:c r="C278" s="24" t="str">
        <x:v>Toolbar_Slicers_FieldParams</x:v>
      </x:c>
      <x:c r="D278" s="24" t="str">
        <x:v>G03_KPI_Row</x:v>
      </x:c>
      <x:c r="E278" s="24" t="str">
        <x:v>KPI_Card_04</x:v>
      </x:c>
      <x:c r="F278" s="25" t="n">
        <x:v>20</x:v>
      </x:c>
      <x:c r="G278" s="25" t="n">
        <x:v>260</x:v>
      </x:c>
      <x:c r="H278" s="25" t="n">
        <x:v>1500</x:v>
      </x:c>
      <x:c r="I278" s="25" t="n">
        <x:v>56</x:v>
      </x:c>
      <x:c r="J278" s="25" t="n">
        <x:f>F278+H278</x:f>
        <x:v>1520</x:v>
      </x:c>
      <x:c r="K278" s="25" t="n">
        <x:f>G278+I278</x:f>
        <x:v>316</x:v>
      </x:c>
      <x:c r="L278" s="25" t="n">
        <x:v>929</x:v>
      </x:c>
      <x:c r="M278" s="25" t="n">
        <x:v>330</x:v>
      </x:c>
      <x:c r="N278" s="25" t="n">
        <x:v>287</x:v>
      </x:c>
      <x:c r="O278" s="25" t="n">
        <x:v>180</x:v>
      </x:c>
      <x:c r="P278" s="25" t="n">
        <x:f>L278+N278</x:f>
        <x:v>1216</x:v>
      </x:c>
      <x:c r="Q278" s="25" t="n">
        <x:f>M278+O278</x:f>
        <x:v>510</x:v>
      </x:c>
      <x:c r="R278" s="25" t="n">
        <x:f>MAX(0,MIN(J278,P278)-MAX(F278,L278))</x:f>
        <x:v>287</x:v>
      </x:c>
      <x:c r="S278" s="25" t="n">
        <x:f>MAX(0,MIN(K278,Q278)-MAX(G278,M278))</x:f>
        <x:v>0</x:v>
      </x:c>
      <x:c r="T278" s="25" t="n">
        <x:f>R278*S278</x:f>
        <x:v>0</x:v>
      </x:c>
      <x:c r="U278" s="24" t="str">
        <x:f>IF(T278&gt;0,"ERREUR chevauchement","OK aucun chevauchement")</x:f>
        <x:v>OK aucun chevauchement</x:v>
      </x:c>
      <x:c r="V278" s="24" t="str">
        <x:v>OK aucun chevauchement</x:v>
      </x:c>
      <x:c r="W278" s="24" t="str">
        <x:v>Si ERREUR : déplacer/redimensionner l’objet B ou créer un bookmark/masquage</x:v>
      </x:c>
    </x:row>
    <x:row r="279">
      <x:c r="A279" s="24" t="str">
        <x:v>Réseau MIA Tableau</x:v>
      </x:c>
      <x:c r="B279" s="24" t="str">
        <x:v>G02_Toolbar</x:v>
      </x:c>
      <x:c r="C279" s="24" t="str">
        <x:v>Toolbar_Slicers_FieldParams</x:v>
      </x:c>
      <x:c r="D279" s="24" t="str">
        <x:v>G03_KPI_Row</x:v>
      </x:c>
      <x:c r="E279" s="24" t="str">
        <x:v>KPI_Card_05</x:v>
      </x:c>
      <x:c r="F279" s="25" t="n">
        <x:v>20</x:v>
      </x:c>
      <x:c r="G279" s="25" t="n">
        <x:v>260</x:v>
      </x:c>
      <x:c r="H279" s="25" t="n">
        <x:v>1500</x:v>
      </x:c>
      <x:c r="I279" s="25" t="n">
        <x:v>56</x:v>
      </x:c>
      <x:c r="J279" s="25" t="n">
        <x:f>F279+H279</x:f>
        <x:v>1520</x:v>
      </x:c>
      <x:c r="K279" s="25" t="n">
        <x:f>G279+I279</x:f>
        <x:v>316</x:v>
      </x:c>
      <x:c r="L279" s="25" t="n">
        <x:v>1232</x:v>
      </x:c>
      <x:c r="M279" s="25" t="n">
        <x:v>330</x:v>
      </x:c>
      <x:c r="N279" s="25" t="n">
        <x:v>287</x:v>
      </x:c>
      <x:c r="O279" s="25" t="n">
        <x:v>180</x:v>
      </x:c>
      <x:c r="P279" s="25" t="n">
        <x:f>L279+N279</x:f>
        <x:v>1519</x:v>
      </x:c>
      <x:c r="Q279" s="25" t="n">
        <x:f>M279+O279</x:f>
        <x:v>510</x:v>
      </x:c>
      <x:c r="R279" s="25" t="n">
        <x:f>MAX(0,MIN(J279,P279)-MAX(F279,L279))</x:f>
        <x:v>287</x:v>
      </x:c>
      <x:c r="S279" s="25" t="n">
        <x:f>MAX(0,MIN(K279,Q279)-MAX(G279,M279))</x:f>
        <x:v>0</x:v>
      </x:c>
      <x:c r="T279" s="25" t="n">
        <x:f>R279*S279</x:f>
        <x:v>0</x:v>
      </x:c>
      <x:c r="U279" s="24" t="str">
        <x:f>IF(T279&gt;0,"ERREUR chevauchement","OK aucun chevauchement")</x:f>
        <x:v>OK aucun chevauchement</x:v>
      </x:c>
      <x:c r="V279" s="24" t="str">
        <x:v>OK aucun chevauchement</x:v>
      </x:c>
      <x:c r="W279" s="24" t="str">
        <x:v>Si ERREUR : déplacer/redimensionner l’objet B ou créer un bookmark/masquage</x:v>
      </x:c>
    </x:row>
    <x:row r="280">
      <x:c r="A280" s="24" t="str">
        <x:v>Réseau MIA Tableau</x:v>
      </x:c>
      <x:c r="B280" s="24" t="str">
        <x:v>G02_Toolbar</x:v>
      </x:c>
      <x:c r="C280" s="24" t="str">
        <x:v>Toolbar_Slicers_FieldParams</x:v>
      </x:c>
      <x:c r="D280" s="24" t="str">
        <x:v>G04_Map_Main</x:v>
      </x:c>
      <x:c r="E280" s="24" t="str">
        <x:v>Map_Carte_France</x:v>
      </x:c>
      <x:c r="F280" s="25" t="n">
        <x:v>20</x:v>
      </x:c>
      <x:c r="G280" s="25" t="n">
        <x:v>260</x:v>
      </x:c>
      <x:c r="H280" s="25" t="n">
        <x:v>1500</x:v>
      </x:c>
      <x:c r="I280" s="25" t="n">
        <x:v>56</x:v>
      </x:c>
      <x:c r="J280" s="25" t="n">
        <x:f>F280+H280</x:f>
        <x:v>1520</x:v>
      </x:c>
      <x:c r="K280" s="25" t="n">
        <x:f>G280+I280</x:f>
        <x:v>316</x:v>
      </x:c>
      <x:c r="L280" s="25" t="n">
        <x:v>20</x:v>
      </x:c>
      <x:c r="M280" s="25" t="n">
        <x:v>535</x:v>
      </x:c>
      <x:c r="N280" s="25" t="n">
        <x:v>830</x:v>
      </x:c>
      <x:c r="O280" s="25" t="n">
        <x:v>560</x:v>
      </x:c>
      <x:c r="P280" s="25" t="n">
        <x:f>L280+N280</x:f>
        <x:v>850</x:v>
      </x:c>
      <x:c r="Q280" s="25" t="n">
        <x:f>M280+O280</x:f>
        <x:v>1095</x:v>
      </x:c>
      <x:c r="R280" s="25" t="n">
        <x:f>MAX(0,MIN(J280,P280)-MAX(F280,L280))</x:f>
        <x:v>830</x:v>
      </x:c>
      <x:c r="S280" s="25" t="n">
        <x:f>MAX(0,MIN(K280,Q280)-MAX(G280,M280))</x:f>
        <x:v>0</x:v>
      </x:c>
      <x:c r="T280" s="25" t="n">
        <x:f>R280*S280</x:f>
        <x:v>0</x:v>
      </x:c>
      <x:c r="U280" s="24" t="str">
        <x:f>IF(T280&gt;0,"ERREUR chevauchement","OK aucun chevauchement")</x:f>
        <x:v>OK aucun chevauchement</x:v>
      </x:c>
      <x:c r="V280" s="24" t="str">
        <x:v>OK aucun chevauchement</x:v>
      </x:c>
      <x:c r="W280" s="24" t="str">
        <x:v>Si ERREUR : déplacer/redimensionner l’objet B ou créer un bookmark/masquage</x:v>
      </x:c>
    </x:row>
    <x:row r="281">
      <x:c r="A281" s="24" t="str">
        <x:v>Réseau MIA Tableau</x:v>
      </x:c>
      <x:c r="B281" s="24" t="str">
        <x:v>G02_Toolbar</x:v>
      </x:c>
      <x:c r="C281" s="24" t="str">
        <x:v>Toolbar_Slicers_FieldParams</x:v>
      </x:c>
      <x:c r="D281" s="24" t="str">
        <x:v>G05_Right_Analytics</x:v>
      </x:c>
      <x:c r="E281" s="24" t="str">
        <x:v>Donut_CSP</x:v>
      </x:c>
      <x:c r="F281" s="25" t="n">
        <x:v>20</x:v>
      </x:c>
      <x:c r="G281" s="25" t="n">
        <x:v>260</x:v>
      </x:c>
      <x:c r="H281" s="25" t="n">
        <x:v>1500</x:v>
      </x:c>
      <x:c r="I281" s="25" t="n">
        <x:v>56</x:v>
      </x:c>
      <x:c r="J281" s="25" t="n">
        <x:f>F281+H281</x:f>
        <x:v>1520</x:v>
      </x:c>
      <x:c r="K281" s="25" t="n">
        <x:f>G281+I281</x:f>
        <x:v>316</x:v>
      </x:c>
      <x:c r="L281" s="25" t="n">
        <x:v>866</x:v>
      </x:c>
      <x:c r="M281" s="25" t="n">
        <x:v>535</x:v>
      </x:c>
      <x:c r="N281" s="25" t="n">
        <x:v>316</x:v>
      </x:c>
      <x:c r="O281" s="25" t="n">
        <x:v>300</x:v>
      </x:c>
      <x:c r="P281" s="25" t="n">
        <x:f>L281+N281</x:f>
        <x:v>1182</x:v>
      </x:c>
      <x:c r="Q281" s="25" t="n">
        <x:f>M281+O281</x:f>
        <x:v>835</x:v>
      </x:c>
      <x:c r="R281" s="25" t="n">
        <x:f>MAX(0,MIN(J281,P281)-MAX(F281,L281))</x:f>
        <x:v>316</x:v>
      </x:c>
      <x:c r="S281" s="25" t="n">
        <x:f>MAX(0,MIN(K281,Q281)-MAX(G281,M281))</x:f>
        <x:v>0</x:v>
      </x:c>
      <x:c r="T281" s="25" t="n">
        <x:f>R281*S281</x:f>
        <x:v>0</x:v>
      </x:c>
      <x:c r="U281" s="24" t="str">
        <x:f>IF(T281&gt;0,"ERREUR chevauchement","OK aucun chevauchement")</x:f>
        <x:v>OK aucun chevauchement</x:v>
      </x:c>
      <x:c r="V281" s="24" t="str">
        <x:v>OK aucun chevauchement</x:v>
      </x:c>
      <x:c r="W281" s="24" t="str">
        <x:v>Si ERREUR : déplacer/redimensionner l’objet B ou créer un bookmark/masquage</x:v>
      </x:c>
    </x:row>
    <x:row r="282">
      <x:c r="A282" s="24" t="str">
        <x:v>Réseau MIA Tableau</x:v>
      </x:c>
      <x:c r="B282" s="24" t="str">
        <x:v>G02_Toolbar</x:v>
      </x:c>
      <x:c r="C282" s="24" t="str">
        <x:v>Toolbar_Slicers_FieldParams</x:v>
      </x:c>
      <x:c r="D282" s="24" t="str">
        <x:v>G05_Right_Analytics</x:v>
      </x:c>
      <x:c r="E282" s="24" t="str">
        <x:v>Donut_MIA</x:v>
      </x:c>
      <x:c r="F282" s="25" t="n">
        <x:v>20</x:v>
      </x:c>
      <x:c r="G282" s="25" t="n">
        <x:v>260</x:v>
      </x:c>
      <x:c r="H282" s="25" t="n">
        <x:v>1500</x:v>
      </x:c>
      <x:c r="I282" s="25" t="n">
        <x:v>56</x:v>
      </x:c>
      <x:c r="J282" s="25" t="n">
        <x:f>F282+H282</x:f>
        <x:v>1520</x:v>
      </x:c>
      <x:c r="K282" s="25" t="n">
        <x:f>G282+I282</x:f>
        <x:v>316</x:v>
      </x:c>
      <x:c r="L282" s="25" t="n">
        <x:v>1198</x:v>
      </x:c>
      <x:c r="M282" s="25" t="n">
        <x:v>535</x:v>
      </x:c>
      <x:c r="N282" s="25" t="n">
        <x:v>322</x:v>
      </x:c>
      <x:c r="O282" s="25" t="n">
        <x:v>300</x:v>
      </x:c>
      <x:c r="P282" s="25" t="n">
        <x:f>L282+N282</x:f>
        <x:v>1520</x:v>
      </x:c>
      <x:c r="Q282" s="25" t="n">
        <x:f>M282+O282</x:f>
        <x:v>835</x:v>
      </x:c>
      <x:c r="R282" s="25" t="n">
        <x:f>MAX(0,MIN(J282,P282)-MAX(F282,L282))</x:f>
        <x:v>322</x:v>
      </x:c>
      <x:c r="S282" s="25" t="n">
        <x:f>MAX(0,MIN(K282,Q282)-MAX(G282,M282))</x:f>
        <x:v>0</x:v>
      </x:c>
      <x:c r="T282" s="25" t="n">
        <x:f>R282*S282</x:f>
        <x:v>0</x:v>
      </x:c>
      <x:c r="U282" s="24" t="str">
        <x:f>IF(T282&gt;0,"ERREUR chevauchement","OK aucun chevauchement")</x:f>
        <x:v>OK aucun chevauchement</x:v>
      </x:c>
      <x:c r="V282" s="24" t="str">
        <x:v>OK aucun chevauchement</x:v>
      </x:c>
      <x:c r="W282" s="24" t="str">
        <x:v>Si ERREUR : déplacer/redimensionner l’objet B ou créer un bookmark/masquage</x:v>
      </x:c>
    </x:row>
    <x:row r="283">
      <x:c r="A283" s="24" t="str">
        <x:v>Réseau MIA Tableau</x:v>
      </x:c>
      <x:c r="B283" s="24" t="str">
        <x:v>G02_Toolbar</x:v>
      </x:c>
      <x:c r="C283" s="24" t="str">
        <x:v>Toolbar_Slicers_FieldParams</x:v>
      </x:c>
      <x:c r="D283" s="24" t="str">
        <x:v>G05_Right_Analytics</x:v>
      </x:c>
      <x:c r="E283" s="24" t="str">
        <x:v>Tableau_Compact</x:v>
      </x:c>
      <x:c r="F283" s="25" t="n">
        <x:v>20</x:v>
      </x:c>
      <x:c r="G283" s="25" t="n">
        <x:v>260</x:v>
      </x:c>
      <x:c r="H283" s="25" t="n">
        <x:v>1500</x:v>
      </x:c>
      <x:c r="I283" s="25" t="n">
        <x:v>56</x:v>
      </x:c>
      <x:c r="J283" s="25" t="n">
        <x:f>F283+H283</x:f>
        <x:v>1520</x:v>
      </x:c>
      <x:c r="K283" s="25" t="n">
        <x:f>G283+I283</x:f>
        <x:v>316</x:v>
      </x:c>
      <x:c r="L283" s="25" t="n">
        <x:v>866</x:v>
      </x:c>
      <x:c r="M283" s="25" t="n">
        <x:v>851</x:v>
      </x:c>
      <x:c r="N283" s="25" t="n">
        <x:v>654</x:v>
      </x:c>
      <x:c r="O283" s="25" t="n">
        <x:v>230</x:v>
      </x:c>
      <x:c r="P283" s="25" t="n">
        <x:f>L283+N283</x:f>
        <x:v>1520</x:v>
      </x:c>
      <x:c r="Q283" s="25" t="n">
        <x:f>M283+O283</x:f>
        <x:v>1081</x:v>
      </x:c>
      <x:c r="R283" s="25" t="n">
        <x:f>MAX(0,MIN(J283,P283)-MAX(F283,L283))</x:f>
        <x:v>654</x:v>
      </x:c>
      <x:c r="S283" s="25" t="n">
        <x:f>MAX(0,MIN(K283,Q283)-MAX(G283,M283))</x:f>
        <x:v>0</x:v>
      </x:c>
      <x:c r="T283" s="25" t="n">
        <x:f>R283*S283</x:f>
        <x:v>0</x:v>
      </x:c>
      <x:c r="U283" s="24" t="str">
        <x:f>IF(T283&gt;0,"ERREUR chevauchement","OK aucun chevauchement")</x:f>
        <x:v>OK aucun chevauchement</x:v>
      </x:c>
      <x:c r="V283" s="24" t="str">
        <x:v>OK aucun chevauchement</x:v>
      </x:c>
      <x:c r="W283" s="24" t="str">
        <x:v>Si ERREUR : déplacer/redimensionner l’objet B ou créer un bookmark/masquage</x:v>
      </x:c>
    </x:row>
    <x:row r="284">
      <x:c r="A284" s="24" t="str">
        <x:v>Réseau MIA Tableau</x:v>
      </x:c>
      <x:c r="B284" s="24" t="str">
        <x:v>G02_Toolbar</x:v>
      </x:c>
      <x:c r="C284" s="24" t="str">
        <x:v>Toolbar_Slicers_FieldParams</x:v>
      </x:c>
      <x:c r="D284" s="24" t="str">
        <x:v>G05_Right_Analytics</x:v>
      </x:c>
      <x:c r="E284" s="24" t="str">
        <x:v>Bar_MIA_Productifs</x:v>
      </x:c>
      <x:c r="F284" s="25" t="n">
        <x:v>20</x:v>
      </x:c>
      <x:c r="G284" s="25" t="n">
        <x:v>260</x:v>
      </x:c>
      <x:c r="H284" s="25" t="n">
        <x:v>1500</x:v>
      </x:c>
      <x:c r="I284" s="25" t="n">
        <x:v>56</x:v>
      </x:c>
      <x:c r="J284" s="25" t="n">
        <x:f>F284+H284</x:f>
        <x:v>1520</x:v>
      </x:c>
      <x:c r="K284" s="25" t="n">
        <x:f>G284+I284</x:f>
        <x:v>316</x:v>
      </x:c>
      <x:c r="L284" s="25" t="n">
        <x:v>866</x:v>
      </x:c>
      <x:c r="M284" s="25" t="n">
        <x:v>1097</x:v>
      </x:c>
      <x:c r="N284" s="25" t="n">
        <x:v>654</x:v>
      </x:c>
      <x:c r="O284" s="25" t="n">
        <x:v>300</x:v>
      </x:c>
      <x:c r="P284" s="25" t="n">
        <x:f>L284+N284</x:f>
        <x:v>1520</x:v>
      </x:c>
      <x:c r="Q284" s="25" t="n">
        <x:f>M284+O284</x:f>
        <x:v>1397</x:v>
      </x:c>
      <x:c r="R284" s="25" t="n">
        <x:f>MAX(0,MIN(J284,P284)-MAX(F284,L284))</x:f>
        <x:v>654</x:v>
      </x:c>
      <x:c r="S284" s="25" t="n">
        <x:f>MAX(0,MIN(K284,Q284)-MAX(G284,M284))</x:f>
        <x:v>0</x:v>
      </x:c>
      <x:c r="T284" s="25" t="n">
        <x:f>R284*S284</x:f>
        <x:v>0</x:v>
      </x:c>
      <x:c r="U284" s="24" t="str">
        <x:f>IF(T284&gt;0,"ERREUR chevauchement","OK aucun chevauchement")</x:f>
        <x:v>OK aucun chevauchement</x:v>
      </x:c>
      <x:c r="V284" s="24" t="str">
        <x:v>OK aucun chevauchement</x:v>
      </x:c>
      <x:c r="W284" s="24" t="str">
        <x:v>Si ERREUR : déplacer/redimensionner l’objet B ou créer un bookmark/masquage</x:v>
      </x:c>
    </x:row>
    <x:row r="285">
      <x:c r="A285" s="24" t="str">
        <x:v>Réseau MIA Tableau</x:v>
      </x:c>
      <x:c r="B285" s="24" t="str">
        <x:v>G02_Toolbar</x:v>
      </x:c>
      <x:c r="C285" s="24" t="str">
        <x:v>Toolbar_Slicers_FieldParams</x:v>
      </x:c>
      <x:c r="D285" s="24" t="str">
        <x:v>G06_Table_Detail</x:v>
      </x:c>
      <x:c r="E285" s="24" t="str">
        <x:v>Tableau_Reseau_Detaille</x:v>
      </x:c>
      <x:c r="F285" s="25" t="n">
        <x:v>20</x:v>
      </x:c>
      <x:c r="G285" s="25" t="n">
        <x:v>260</x:v>
      </x:c>
      <x:c r="H285" s="25" t="n">
        <x:v>1500</x:v>
      </x:c>
      <x:c r="I285" s="25" t="n">
        <x:v>56</x:v>
      </x:c>
      <x:c r="J285" s="25" t="n">
        <x:f>F285+H285</x:f>
        <x:v>1520</x:v>
      </x:c>
      <x:c r="K285" s="25" t="n">
        <x:f>G285+I285</x:f>
        <x:v>316</x:v>
      </x:c>
      <x:c r="L285" s="25" t="n">
        <x:v>20</x:v>
      </x:c>
      <x:c r="M285" s="25" t="n">
        <x:v>1417</x:v>
      </x:c>
      <x:c r="N285" s="25" t="n">
        <x:v>1500</x:v>
      </x:c>
      <x:c r="O285" s="25" t="n">
        <x:v>300</x:v>
      </x:c>
      <x:c r="P285" s="25" t="n">
        <x:f>L285+N285</x:f>
        <x:v>1520</x:v>
      </x:c>
      <x:c r="Q285" s="25" t="n">
        <x:f>M285+O285</x:f>
        <x:v>1717</x:v>
      </x:c>
      <x:c r="R285" s="25" t="n">
        <x:f>MAX(0,MIN(J285,P285)-MAX(F285,L285))</x:f>
        <x:v>1500</x:v>
      </x:c>
      <x:c r="S285" s="25" t="n">
        <x:f>MAX(0,MIN(K285,Q285)-MAX(G285,M285))</x:f>
        <x:v>0</x:v>
      </x:c>
      <x:c r="T285" s="25" t="n">
        <x:f>R285*S285</x:f>
        <x:v>0</x:v>
      </x:c>
      <x:c r="U285" s="24" t="str">
        <x:f>IF(T285&gt;0,"ERREUR chevauchement","OK aucun chevauchement")</x:f>
        <x:v>OK aucun chevauchement</x:v>
      </x:c>
      <x:c r="V285" s="24" t="str">
        <x:v>OK aucun chevauchement</x:v>
      </x:c>
      <x:c r="W285" s="24" t="str">
        <x:v>Si ERREUR : déplacer/redimensionner l’objet B ou créer un bookmark/masquage</x:v>
      </x:c>
    </x:row>
    <x:row r="286">
      <x:c r="A286" s="24" t="str">
        <x:v>Réseau MIA Tableau</x:v>
      </x:c>
      <x:c r="B286" s="24" t="str">
        <x:v>G03_KPI_Row</x:v>
      </x:c>
      <x:c r="C286" s="24" t="str">
        <x:v>KPI_Card_01</x:v>
      </x:c>
      <x:c r="D286" s="24" t="str">
        <x:v>G03_KPI_Row</x:v>
      </x:c>
      <x:c r="E286" s="24" t="str">
        <x:v>KPI_Card_02</x:v>
      </x:c>
      <x:c r="F286" s="25" t="n">
        <x:v>20</x:v>
      </x:c>
      <x:c r="G286" s="25" t="n">
        <x:v>330</x:v>
      </x:c>
      <x:c r="H286" s="25" t="n">
        <x:v>287</x:v>
      </x:c>
      <x:c r="I286" s="25" t="n">
        <x:v>180</x:v>
      </x:c>
      <x:c r="J286" s="25" t="n">
        <x:f>F286+H286</x:f>
        <x:v>307</x:v>
      </x:c>
      <x:c r="K286" s="25" t="n">
        <x:f>G286+I286</x:f>
        <x:v>510</x:v>
      </x:c>
      <x:c r="L286" s="25" t="n">
        <x:v>323</x:v>
      </x:c>
      <x:c r="M286" s="25" t="n">
        <x:v>330</x:v>
      </x:c>
      <x:c r="N286" s="25" t="n">
        <x:v>287</x:v>
      </x:c>
      <x:c r="O286" s="25" t="n">
        <x:v>180</x:v>
      </x:c>
      <x:c r="P286" s="25" t="n">
        <x:f>L286+N286</x:f>
        <x:v>610</x:v>
      </x:c>
      <x:c r="Q286" s="25" t="n">
        <x:f>M286+O286</x:f>
        <x:v>510</x:v>
      </x:c>
      <x:c r="R286" s="25" t="n">
        <x:f>MAX(0,MIN(J286,P286)-MAX(F286,L286))</x:f>
        <x:v>0</x:v>
      </x:c>
      <x:c r="S286" s="25" t="n">
        <x:f>MAX(0,MIN(K286,Q286)-MAX(G286,M286))</x:f>
        <x:v>180</x:v>
      </x:c>
      <x:c r="T286" s="25" t="n">
        <x:f>R286*S286</x:f>
        <x:v>0</x:v>
      </x:c>
      <x:c r="U286" s="24" t="str">
        <x:f>IF(T286&gt;0,"ERREUR chevauchement","OK aucun chevauchement")</x:f>
        <x:v>OK aucun chevauchement</x:v>
      </x:c>
      <x:c r="V286" s="24" t="str">
        <x:v>OK aucun chevauchement</x:v>
      </x:c>
      <x:c r="W286" s="24" t="str">
        <x:v>Si ERREUR : déplacer/redimensionner l’objet B ou créer un bookmark/masquage</x:v>
      </x:c>
    </x:row>
    <x:row r="287">
      <x:c r="A287" s="24" t="str">
        <x:v>Réseau MIA Tableau</x:v>
      </x:c>
      <x:c r="B287" s="24" t="str">
        <x:v>G03_KPI_Row</x:v>
      </x:c>
      <x:c r="C287" s="24" t="str">
        <x:v>KPI_Card_01</x:v>
      </x:c>
      <x:c r="D287" s="24" t="str">
        <x:v>G03_KPI_Row</x:v>
      </x:c>
      <x:c r="E287" s="24" t="str">
        <x:v>KPI_Card_03</x:v>
      </x:c>
      <x:c r="F287" s="25" t="n">
        <x:v>20</x:v>
      </x:c>
      <x:c r="G287" s="25" t="n">
        <x:v>330</x:v>
      </x:c>
      <x:c r="H287" s="25" t="n">
        <x:v>287</x:v>
      </x:c>
      <x:c r="I287" s="25" t="n">
        <x:v>180</x:v>
      </x:c>
      <x:c r="J287" s="25" t="n">
        <x:f>F287+H287</x:f>
        <x:v>307</x:v>
      </x:c>
      <x:c r="K287" s="25" t="n">
        <x:f>G287+I287</x:f>
        <x:v>510</x:v>
      </x:c>
      <x:c r="L287" s="25" t="n">
        <x:v>626</x:v>
      </x:c>
      <x:c r="M287" s="25" t="n">
        <x:v>330</x:v>
      </x:c>
      <x:c r="N287" s="25" t="n">
        <x:v>287</x:v>
      </x:c>
      <x:c r="O287" s="25" t="n">
        <x:v>180</x:v>
      </x:c>
      <x:c r="P287" s="25" t="n">
        <x:f>L287+N287</x:f>
        <x:v>913</x:v>
      </x:c>
      <x:c r="Q287" s="25" t="n">
        <x:f>M287+O287</x:f>
        <x:v>510</x:v>
      </x:c>
      <x:c r="R287" s="25" t="n">
        <x:f>MAX(0,MIN(J287,P287)-MAX(F287,L287))</x:f>
        <x:v>0</x:v>
      </x:c>
      <x:c r="S287" s="25" t="n">
        <x:f>MAX(0,MIN(K287,Q287)-MAX(G287,M287))</x:f>
        <x:v>180</x:v>
      </x:c>
      <x:c r="T287" s="25" t="n">
        <x:f>R287*S287</x:f>
        <x:v>0</x:v>
      </x:c>
      <x:c r="U287" s="24" t="str">
        <x:f>IF(T287&gt;0,"ERREUR chevauchement","OK aucun chevauchement")</x:f>
        <x:v>OK aucun chevauchement</x:v>
      </x:c>
      <x:c r="V287" s="24" t="str">
        <x:v>OK aucun chevauchement</x:v>
      </x:c>
      <x:c r="W287" s="24" t="str">
        <x:v>Si ERREUR : déplacer/redimensionner l’objet B ou créer un bookmark/masquage</x:v>
      </x:c>
    </x:row>
    <x:row r="288">
      <x:c r="A288" s="24" t="str">
        <x:v>Réseau MIA Tableau</x:v>
      </x:c>
      <x:c r="B288" s="24" t="str">
        <x:v>G03_KPI_Row</x:v>
      </x:c>
      <x:c r="C288" s="24" t="str">
        <x:v>KPI_Card_01</x:v>
      </x:c>
      <x:c r="D288" s="24" t="str">
        <x:v>G03_KPI_Row</x:v>
      </x:c>
      <x:c r="E288" s="24" t="str">
        <x:v>KPI_Card_04</x:v>
      </x:c>
      <x:c r="F288" s="25" t="n">
        <x:v>20</x:v>
      </x:c>
      <x:c r="G288" s="25" t="n">
        <x:v>330</x:v>
      </x:c>
      <x:c r="H288" s="25" t="n">
        <x:v>287</x:v>
      </x:c>
      <x:c r="I288" s="25" t="n">
        <x:v>180</x:v>
      </x:c>
      <x:c r="J288" s="25" t="n">
        <x:f>F288+H288</x:f>
        <x:v>307</x:v>
      </x:c>
      <x:c r="K288" s="25" t="n">
        <x:f>G288+I288</x:f>
        <x:v>510</x:v>
      </x:c>
      <x:c r="L288" s="25" t="n">
        <x:v>929</x:v>
      </x:c>
      <x:c r="M288" s="25" t="n">
        <x:v>330</x:v>
      </x:c>
      <x:c r="N288" s="25" t="n">
        <x:v>287</x:v>
      </x:c>
      <x:c r="O288" s="25" t="n">
        <x:v>180</x:v>
      </x:c>
      <x:c r="P288" s="25" t="n">
        <x:f>L288+N288</x:f>
        <x:v>1216</x:v>
      </x:c>
      <x:c r="Q288" s="25" t="n">
        <x:f>M288+O288</x:f>
        <x:v>510</x:v>
      </x:c>
      <x:c r="R288" s="25" t="n">
        <x:f>MAX(0,MIN(J288,P288)-MAX(F288,L288))</x:f>
        <x:v>0</x:v>
      </x:c>
      <x:c r="S288" s="25" t="n">
        <x:f>MAX(0,MIN(K288,Q288)-MAX(G288,M288))</x:f>
        <x:v>180</x:v>
      </x:c>
      <x:c r="T288" s="25" t="n">
        <x:f>R288*S288</x:f>
        <x:v>0</x:v>
      </x:c>
      <x:c r="U288" s="24" t="str">
        <x:f>IF(T288&gt;0,"ERREUR chevauchement","OK aucun chevauchement")</x:f>
        <x:v>OK aucun chevauchement</x:v>
      </x:c>
      <x:c r="V288" s="24" t="str">
        <x:v>OK aucun chevauchement</x:v>
      </x:c>
      <x:c r="W288" s="24" t="str">
        <x:v>Si ERREUR : déplacer/redimensionner l’objet B ou créer un bookmark/masquage</x:v>
      </x:c>
    </x:row>
    <x:row r="289">
      <x:c r="A289" s="24" t="str">
        <x:v>Réseau MIA Tableau</x:v>
      </x:c>
      <x:c r="B289" s="24" t="str">
        <x:v>G03_KPI_Row</x:v>
      </x:c>
      <x:c r="C289" s="24" t="str">
        <x:v>KPI_Card_01</x:v>
      </x:c>
      <x:c r="D289" s="24" t="str">
        <x:v>G03_KPI_Row</x:v>
      </x:c>
      <x:c r="E289" s="24" t="str">
        <x:v>KPI_Card_05</x:v>
      </x:c>
      <x:c r="F289" s="25" t="n">
        <x:v>20</x:v>
      </x:c>
      <x:c r="G289" s="25" t="n">
        <x:v>330</x:v>
      </x:c>
      <x:c r="H289" s="25" t="n">
        <x:v>287</x:v>
      </x:c>
      <x:c r="I289" s="25" t="n">
        <x:v>180</x:v>
      </x:c>
      <x:c r="J289" s="25" t="n">
        <x:f>F289+H289</x:f>
        <x:v>307</x:v>
      </x:c>
      <x:c r="K289" s="25" t="n">
        <x:f>G289+I289</x:f>
        <x:v>510</x:v>
      </x:c>
      <x:c r="L289" s="25" t="n">
        <x:v>1232</x:v>
      </x:c>
      <x:c r="M289" s="25" t="n">
        <x:v>330</x:v>
      </x:c>
      <x:c r="N289" s="25" t="n">
        <x:v>287</x:v>
      </x:c>
      <x:c r="O289" s="25" t="n">
        <x:v>180</x:v>
      </x:c>
      <x:c r="P289" s="25" t="n">
        <x:f>L289+N289</x:f>
        <x:v>1519</x:v>
      </x:c>
      <x:c r="Q289" s="25" t="n">
        <x:f>M289+O289</x:f>
        <x:v>510</x:v>
      </x:c>
      <x:c r="R289" s="25" t="n">
        <x:f>MAX(0,MIN(J289,P289)-MAX(F289,L289))</x:f>
        <x:v>0</x:v>
      </x:c>
      <x:c r="S289" s="25" t="n">
        <x:f>MAX(0,MIN(K289,Q289)-MAX(G289,M289))</x:f>
        <x:v>180</x:v>
      </x:c>
      <x:c r="T289" s="25" t="n">
        <x:f>R289*S289</x:f>
        <x:v>0</x:v>
      </x:c>
      <x:c r="U289" s="24" t="str">
        <x:f>IF(T289&gt;0,"ERREUR chevauchement","OK aucun chevauchement")</x:f>
        <x:v>OK aucun chevauchement</x:v>
      </x:c>
      <x:c r="V289" s="24" t="str">
        <x:v>OK aucun chevauchement</x:v>
      </x:c>
      <x:c r="W289" s="24" t="str">
        <x:v>Si ERREUR : déplacer/redimensionner l’objet B ou créer un bookmark/masquage</x:v>
      </x:c>
    </x:row>
    <x:row r="290">
      <x:c r="A290" s="24" t="str">
        <x:v>Réseau MIA Tableau</x:v>
      </x:c>
      <x:c r="B290" s="24" t="str">
        <x:v>G03_KPI_Row</x:v>
      </x:c>
      <x:c r="C290" s="24" t="str">
        <x:v>KPI_Card_01</x:v>
      </x:c>
      <x:c r="D290" s="24" t="str">
        <x:v>G04_Map_Main</x:v>
      </x:c>
      <x:c r="E290" s="24" t="str">
        <x:v>Map_Carte_France</x:v>
      </x:c>
      <x:c r="F290" s="25" t="n">
        <x:v>20</x:v>
      </x:c>
      <x:c r="G290" s="25" t="n">
        <x:v>330</x:v>
      </x:c>
      <x:c r="H290" s="25" t="n">
        <x:v>287</x:v>
      </x:c>
      <x:c r="I290" s="25" t="n">
        <x:v>180</x:v>
      </x:c>
      <x:c r="J290" s="25" t="n">
        <x:f>F290+H290</x:f>
        <x:v>307</x:v>
      </x:c>
      <x:c r="K290" s="25" t="n">
        <x:f>G290+I290</x:f>
        <x:v>510</x:v>
      </x:c>
      <x:c r="L290" s="25" t="n">
        <x:v>20</x:v>
      </x:c>
      <x:c r="M290" s="25" t="n">
        <x:v>535</x:v>
      </x:c>
      <x:c r="N290" s="25" t="n">
        <x:v>830</x:v>
      </x:c>
      <x:c r="O290" s="25" t="n">
        <x:v>560</x:v>
      </x:c>
      <x:c r="P290" s="25" t="n">
        <x:f>L290+N290</x:f>
        <x:v>850</x:v>
      </x:c>
      <x:c r="Q290" s="25" t="n">
        <x:f>M290+O290</x:f>
        <x:v>1095</x:v>
      </x:c>
      <x:c r="R290" s="25" t="n">
        <x:f>MAX(0,MIN(J290,P290)-MAX(F290,L290))</x:f>
        <x:v>287</x:v>
      </x:c>
      <x:c r="S290" s="25" t="n">
        <x:f>MAX(0,MIN(K290,Q290)-MAX(G290,M290))</x:f>
        <x:v>0</x:v>
      </x:c>
      <x:c r="T290" s="25" t="n">
        <x:f>R290*S290</x:f>
        <x:v>0</x:v>
      </x:c>
      <x:c r="U290" s="24" t="str">
        <x:f>IF(T290&gt;0,"ERREUR chevauchement","OK aucun chevauchement")</x:f>
        <x:v>OK aucun chevauchement</x:v>
      </x:c>
      <x:c r="V290" s="24" t="str">
        <x:v>OK aucun chevauchement</x:v>
      </x:c>
      <x:c r="W290" s="24" t="str">
        <x:v>Si ERREUR : déplacer/redimensionner l’objet B ou créer un bookmark/masquage</x:v>
      </x:c>
    </x:row>
    <x:row r="291">
      <x:c r="A291" s="24" t="str">
        <x:v>Réseau MIA Tableau</x:v>
      </x:c>
      <x:c r="B291" s="24" t="str">
        <x:v>G03_KPI_Row</x:v>
      </x:c>
      <x:c r="C291" s="24" t="str">
        <x:v>KPI_Card_01</x:v>
      </x:c>
      <x:c r="D291" s="24" t="str">
        <x:v>G05_Right_Analytics</x:v>
      </x:c>
      <x:c r="E291" s="24" t="str">
        <x:v>Donut_CSP</x:v>
      </x:c>
      <x:c r="F291" s="25" t="n">
        <x:v>20</x:v>
      </x:c>
      <x:c r="G291" s="25" t="n">
        <x:v>330</x:v>
      </x:c>
      <x:c r="H291" s="25" t="n">
        <x:v>287</x:v>
      </x:c>
      <x:c r="I291" s="25" t="n">
        <x:v>180</x:v>
      </x:c>
      <x:c r="J291" s="25" t="n">
        <x:f>F291+H291</x:f>
        <x:v>307</x:v>
      </x:c>
      <x:c r="K291" s="25" t="n">
        <x:f>G291+I291</x:f>
        <x:v>510</x:v>
      </x:c>
      <x:c r="L291" s="25" t="n">
        <x:v>866</x:v>
      </x:c>
      <x:c r="M291" s="25" t="n">
        <x:v>535</x:v>
      </x:c>
      <x:c r="N291" s="25" t="n">
        <x:v>316</x:v>
      </x:c>
      <x:c r="O291" s="25" t="n">
        <x:v>300</x:v>
      </x:c>
      <x:c r="P291" s="25" t="n">
        <x:f>L291+N291</x:f>
        <x:v>1182</x:v>
      </x:c>
      <x:c r="Q291" s="25" t="n">
        <x:f>M291+O291</x:f>
        <x:v>835</x:v>
      </x:c>
      <x:c r="R291" s="25" t="n">
        <x:f>MAX(0,MIN(J291,P291)-MAX(F291,L291))</x:f>
        <x:v>0</x:v>
      </x:c>
      <x:c r="S291" s="25" t="n">
        <x:f>MAX(0,MIN(K291,Q291)-MAX(G291,M291))</x:f>
        <x:v>0</x:v>
      </x:c>
      <x:c r="T291" s="25" t="n">
        <x:f>R291*S291</x:f>
        <x:v>0</x:v>
      </x:c>
      <x:c r="U291" s="24" t="str">
        <x:f>IF(T291&gt;0,"ERREUR chevauchement","OK aucun chevauchement")</x:f>
        <x:v>OK aucun chevauchement</x:v>
      </x:c>
      <x:c r="V291" s="24" t="str">
        <x:v>OK aucun chevauchement</x:v>
      </x:c>
      <x:c r="W291" s="24" t="str">
        <x:v>Si ERREUR : déplacer/redimensionner l’objet B ou créer un bookmark/masquage</x:v>
      </x:c>
    </x:row>
    <x:row r="292">
      <x:c r="A292" s="24" t="str">
        <x:v>Réseau MIA Tableau</x:v>
      </x:c>
      <x:c r="B292" s="24" t="str">
        <x:v>G03_KPI_Row</x:v>
      </x:c>
      <x:c r="C292" s="24" t="str">
        <x:v>KPI_Card_01</x:v>
      </x:c>
      <x:c r="D292" s="24" t="str">
        <x:v>G05_Right_Analytics</x:v>
      </x:c>
      <x:c r="E292" s="24" t="str">
        <x:v>Donut_MIA</x:v>
      </x:c>
      <x:c r="F292" s="25" t="n">
        <x:v>20</x:v>
      </x:c>
      <x:c r="G292" s="25" t="n">
        <x:v>330</x:v>
      </x:c>
      <x:c r="H292" s="25" t="n">
        <x:v>287</x:v>
      </x:c>
      <x:c r="I292" s="25" t="n">
        <x:v>180</x:v>
      </x:c>
      <x:c r="J292" s="25" t="n">
        <x:f>F292+H292</x:f>
        <x:v>307</x:v>
      </x:c>
      <x:c r="K292" s="25" t="n">
        <x:f>G292+I292</x:f>
        <x:v>510</x:v>
      </x:c>
      <x:c r="L292" s="25" t="n">
        <x:v>1198</x:v>
      </x:c>
      <x:c r="M292" s="25" t="n">
        <x:v>535</x:v>
      </x:c>
      <x:c r="N292" s="25" t="n">
        <x:v>322</x:v>
      </x:c>
      <x:c r="O292" s="25" t="n">
        <x:v>300</x:v>
      </x:c>
      <x:c r="P292" s="25" t="n">
        <x:f>L292+N292</x:f>
        <x:v>1520</x:v>
      </x:c>
      <x:c r="Q292" s="25" t="n">
        <x:f>M292+O292</x:f>
        <x:v>835</x:v>
      </x:c>
      <x:c r="R292" s="25" t="n">
        <x:f>MAX(0,MIN(J292,P292)-MAX(F292,L292))</x:f>
        <x:v>0</x:v>
      </x:c>
      <x:c r="S292" s="25" t="n">
        <x:f>MAX(0,MIN(K292,Q292)-MAX(G292,M292))</x:f>
        <x:v>0</x:v>
      </x:c>
      <x:c r="T292" s="25" t="n">
        <x:f>R292*S292</x:f>
        <x:v>0</x:v>
      </x:c>
      <x:c r="U292" s="24" t="str">
        <x:f>IF(T292&gt;0,"ERREUR chevauchement","OK aucun chevauchement")</x:f>
        <x:v>OK aucun chevauchement</x:v>
      </x:c>
      <x:c r="V292" s="24" t="str">
        <x:v>OK aucun chevauchement</x:v>
      </x:c>
      <x:c r="W292" s="24" t="str">
        <x:v>Si ERREUR : déplacer/redimensionner l’objet B ou créer un bookmark/masquage</x:v>
      </x:c>
    </x:row>
    <x:row r="293">
      <x:c r="A293" s="24" t="str">
        <x:v>Réseau MIA Tableau</x:v>
      </x:c>
      <x:c r="B293" s="24" t="str">
        <x:v>G03_KPI_Row</x:v>
      </x:c>
      <x:c r="C293" s="24" t="str">
        <x:v>KPI_Card_01</x:v>
      </x:c>
      <x:c r="D293" s="24" t="str">
        <x:v>G05_Right_Analytics</x:v>
      </x:c>
      <x:c r="E293" s="24" t="str">
        <x:v>Tableau_Compact</x:v>
      </x:c>
      <x:c r="F293" s="25" t="n">
        <x:v>20</x:v>
      </x:c>
      <x:c r="G293" s="25" t="n">
        <x:v>330</x:v>
      </x:c>
      <x:c r="H293" s="25" t="n">
        <x:v>287</x:v>
      </x:c>
      <x:c r="I293" s="25" t="n">
        <x:v>180</x:v>
      </x:c>
      <x:c r="J293" s="25" t="n">
        <x:f>F293+H293</x:f>
        <x:v>307</x:v>
      </x:c>
      <x:c r="K293" s="25" t="n">
        <x:f>G293+I293</x:f>
        <x:v>510</x:v>
      </x:c>
      <x:c r="L293" s="25" t="n">
        <x:v>866</x:v>
      </x:c>
      <x:c r="M293" s="25" t="n">
        <x:v>851</x:v>
      </x:c>
      <x:c r="N293" s="25" t="n">
        <x:v>654</x:v>
      </x:c>
      <x:c r="O293" s="25" t="n">
        <x:v>230</x:v>
      </x:c>
      <x:c r="P293" s="25" t="n">
        <x:f>L293+N293</x:f>
        <x:v>1520</x:v>
      </x:c>
      <x:c r="Q293" s="25" t="n">
        <x:f>M293+O293</x:f>
        <x:v>1081</x:v>
      </x:c>
      <x:c r="R293" s="25" t="n">
        <x:f>MAX(0,MIN(J293,P293)-MAX(F293,L293))</x:f>
        <x:v>0</x:v>
      </x:c>
      <x:c r="S293" s="25" t="n">
        <x:f>MAX(0,MIN(K293,Q293)-MAX(G293,M293))</x:f>
        <x:v>0</x:v>
      </x:c>
      <x:c r="T293" s="25" t="n">
        <x:f>R293*S293</x:f>
        <x:v>0</x:v>
      </x:c>
      <x:c r="U293" s="24" t="str">
        <x:f>IF(T293&gt;0,"ERREUR chevauchement","OK aucun chevauchement")</x:f>
        <x:v>OK aucun chevauchement</x:v>
      </x:c>
      <x:c r="V293" s="24" t="str">
        <x:v>OK aucun chevauchement</x:v>
      </x:c>
      <x:c r="W293" s="24" t="str">
        <x:v>Si ERREUR : déplacer/redimensionner l’objet B ou créer un bookmark/masquage</x:v>
      </x:c>
    </x:row>
    <x:row r="294">
      <x:c r="A294" s="24" t="str">
        <x:v>Réseau MIA Tableau</x:v>
      </x:c>
      <x:c r="B294" s="24" t="str">
        <x:v>G03_KPI_Row</x:v>
      </x:c>
      <x:c r="C294" s="24" t="str">
        <x:v>KPI_Card_01</x:v>
      </x:c>
      <x:c r="D294" s="24" t="str">
        <x:v>G05_Right_Analytics</x:v>
      </x:c>
      <x:c r="E294" s="24" t="str">
        <x:v>Bar_MIA_Productifs</x:v>
      </x:c>
      <x:c r="F294" s="25" t="n">
        <x:v>20</x:v>
      </x:c>
      <x:c r="G294" s="25" t="n">
        <x:v>330</x:v>
      </x:c>
      <x:c r="H294" s="25" t="n">
        <x:v>287</x:v>
      </x:c>
      <x:c r="I294" s="25" t="n">
        <x:v>180</x:v>
      </x:c>
      <x:c r="J294" s="25" t="n">
        <x:f>F294+H294</x:f>
        <x:v>307</x:v>
      </x:c>
      <x:c r="K294" s="25" t="n">
        <x:f>G294+I294</x:f>
        <x:v>510</x:v>
      </x:c>
      <x:c r="L294" s="25" t="n">
        <x:v>866</x:v>
      </x:c>
      <x:c r="M294" s="25" t="n">
        <x:v>1097</x:v>
      </x:c>
      <x:c r="N294" s="25" t="n">
        <x:v>654</x:v>
      </x:c>
      <x:c r="O294" s="25" t="n">
        <x:v>300</x:v>
      </x:c>
      <x:c r="P294" s="25" t="n">
        <x:f>L294+N294</x:f>
        <x:v>1520</x:v>
      </x:c>
      <x:c r="Q294" s="25" t="n">
        <x:f>M294+O294</x:f>
        <x:v>1397</x:v>
      </x:c>
      <x:c r="R294" s="25" t="n">
        <x:f>MAX(0,MIN(J294,P294)-MAX(F294,L294))</x:f>
        <x:v>0</x:v>
      </x:c>
      <x:c r="S294" s="25" t="n">
        <x:f>MAX(0,MIN(K294,Q294)-MAX(G294,M294))</x:f>
        <x:v>0</x:v>
      </x:c>
      <x:c r="T294" s="25" t="n">
        <x:f>R294*S294</x:f>
        <x:v>0</x:v>
      </x:c>
      <x:c r="U294" s="24" t="str">
        <x:f>IF(T294&gt;0,"ERREUR chevauchement","OK aucun chevauchement")</x:f>
        <x:v>OK aucun chevauchement</x:v>
      </x:c>
      <x:c r="V294" s="24" t="str">
        <x:v>OK aucun chevauchement</x:v>
      </x:c>
      <x:c r="W294" s="24" t="str">
        <x:v>Si ERREUR : déplacer/redimensionner l’objet B ou créer un bookmark/masquage</x:v>
      </x:c>
    </x:row>
    <x:row r="295">
      <x:c r="A295" s="24" t="str">
        <x:v>Réseau MIA Tableau</x:v>
      </x:c>
      <x:c r="B295" s="24" t="str">
        <x:v>G03_KPI_Row</x:v>
      </x:c>
      <x:c r="C295" s="24" t="str">
        <x:v>KPI_Card_01</x:v>
      </x:c>
      <x:c r="D295" s="24" t="str">
        <x:v>G06_Table_Detail</x:v>
      </x:c>
      <x:c r="E295" s="24" t="str">
        <x:v>Tableau_Reseau_Detaille</x:v>
      </x:c>
      <x:c r="F295" s="25" t="n">
        <x:v>20</x:v>
      </x:c>
      <x:c r="G295" s="25" t="n">
        <x:v>330</x:v>
      </x:c>
      <x:c r="H295" s="25" t="n">
        <x:v>287</x:v>
      </x:c>
      <x:c r="I295" s="25" t="n">
        <x:v>180</x:v>
      </x:c>
      <x:c r="J295" s="25" t="n">
        <x:f>F295+H295</x:f>
        <x:v>307</x:v>
      </x:c>
      <x:c r="K295" s="25" t="n">
        <x:f>G295+I295</x:f>
        <x:v>510</x:v>
      </x:c>
      <x:c r="L295" s="25" t="n">
        <x:v>20</x:v>
      </x:c>
      <x:c r="M295" s="25" t="n">
        <x:v>1417</x:v>
      </x:c>
      <x:c r="N295" s="25" t="n">
        <x:v>1500</x:v>
      </x:c>
      <x:c r="O295" s="25" t="n">
        <x:v>300</x:v>
      </x:c>
      <x:c r="P295" s="25" t="n">
        <x:f>L295+N295</x:f>
        <x:v>1520</x:v>
      </x:c>
      <x:c r="Q295" s="25" t="n">
        <x:f>M295+O295</x:f>
        <x:v>1717</x:v>
      </x:c>
      <x:c r="R295" s="25" t="n">
        <x:f>MAX(0,MIN(J295,P295)-MAX(F295,L295))</x:f>
        <x:v>287</x:v>
      </x:c>
      <x:c r="S295" s="25" t="n">
        <x:f>MAX(0,MIN(K295,Q295)-MAX(G295,M295))</x:f>
        <x:v>0</x:v>
      </x:c>
      <x:c r="T295" s="25" t="n">
        <x:f>R295*S295</x:f>
        <x:v>0</x:v>
      </x:c>
      <x:c r="U295" s="24" t="str">
        <x:f>IF(T295&gt;0,"ERREUR chevauchement","OK aucun chevauchement")</x:f>
        <x:v>OK aucun chevauchement</x:v>
      </x:c>
      <x:c r="V295" s="24" t="str">
        <x:v>OK aucun chevauchement</x:v>
      </x:c>
      <x:c r="W295" s="24" t="str">
        <x:v>Si ERREUR : déplacer/redimensionner l’objet B ou créer un bookmark/masquage</x:v>
      </x:c>
    </x:row>
    <x:row r="296">
      <x:c r="A296" s="24" t="str">
        <x:v>Réseau MIA Tableau</x:v>
      </x:c>
      <x:c r="B296" s="24" t="str">
        <x:v>G03_KPI_Row</x:v>
      </x:c>
      <x:c r="C296" s="24" t="str">
        <x:v>KPI_Card_02</x:v>
      </x:c>
      <x:c r="D296" s="24" t="str">
        <x:v>G03_KPI_Row</x:v>
      </x:c>
      <x:c r="E296" s="24" t="str">
        <x:v>KPI_Card_03</x:v>
      </x:c>
      <x:c r="F296" s="25" t="n">
        <x:v>323</x:v>
      </x:c>
      <x:c r="G296" s="25" t="n">
        <x:v>330</x:v>
      </x:c>
      <x:c r="H296" s="25" t="n">
        <x:v>287</x:v>
      </x:c>
      <x:c r="I296" s="25" t="n">
        <x:v>180</x:v>
      </x:c>
      <x:c r="J296" s="25" t="n">
        <x:f>F296+H296</x:f>
        <x:v>610</x:v>
      </x:c>
      <x:c r="K296" s="25" t="n">
        <x:f>G296+I296</x:f>
        <x:v>510</x:v>
      </x:c>
      <x:c r="L296" s="25" t="n">
        <x:v>626</x:v>
      </x:c>
      <x:c r="M296" s="25" t="n">
        <x:v>330</x:v>
      </x:c>
      <x:c r="N296" s="25" t="n">
        <x:v>287</x:v>
      </x:c>
      <x:c r="O296" s="25" t="n">
        <x:v>180</x:v>
      </x:c>
      <x:c r="P296" s="25" t="n">
        <x:f>L296+N296</x:f>
        <x:v>913</x:v>
      </x:c>
      <x:c r="Q296" s="25" t="n">
        <x:f>M296+O296</x:f>
        <x:v>510</x:v>
      </x:c>
      <x:c r="R296" s="25" t="n">
        <x:f>MAX(0,MIN(J296,P296)-MAX(F296,L296))</x:f>
        <x:v>0</x:v>
      </x:c>
      <x:c r="S296" s="25" t="n">
        <x:f>MAX(0,MIN(K296,Q296)-MAX(G296,M296))</x:f>
        <x:v>180</x:v>
      </x:c>
      <x:c r="T296" s="25" t="n">
        <x:f>R296*S296</x:f>
        <x:v>0</x:v>
      </x:c>
      <x:c r="U296" s="24" t="str">
        <x:f>IF(T296&gt;0,"ERREUR chevauchement","OK aucun chevauchement")</x:f>
        <x:v>OK aucun chevauchement</x:v>
      </x:c>
      <x:c r="V296" s="24" t="str">
        <x:v>OK aucun chevauchement</x:v>
      </x:c>
      <x:c r="W296" s="24" t="str">
        <x:v>Si ERREUR : déplacer/redimensionner l’objet B ou créer un bookmark/masquage</x:v>
      </x:c>
    </x:row>
    <x:row r="297">
      <x:c r="A297" s="24" t="str">
        <x:v>Réseau MIA Tableau</x:v>
      </x:c>
      <x:c r="B297" s="24" t="str">
        <x:v>G03_KPI_Row</x:v>
      </x:c>
      <x:c r="C297" s="24" t="str">
        <x:v>KPI_Card_02</x:v>
      </x:c>
      <x:c r="D297" s="24" t="str">
        <x:v>G03_KPI_Row</x:v>
      </x:c>
      <x:c r="E297" s="24" t="str">
        <x:v>KPI_Card_04</x:v>
      </x:c>
      <x:c r="F297" s="25" t="n">
        <x:v>323</x:v>
      </x:c>
      <x:c r="G297" s="25" t="n">
        <x:v>330</x:v>
      </x:c>
      <x:c r="H297" s="25" t="n">
        <x:v>287</x:v>
      </x:c>
      <x:c r="I297" s="25" t="n">
        <x:v>180</x:v>
      </x:c>
      <x:c r="J297" s="25" t="n">
        <x:f>F297+H297</x:f>
        <x:v>610</x:v>
      </x:c>
      <x:c r="K297" s="25" t="n">
        <x:f>G297+I297</x:f>
        <x:v>510</x:v>
      </x:c>
      <x:c r="L297" s="25" t="n">
        <x:v>929</x:v>
      </x:c>
      <x:c r="M297" s="25" t="n">
        <x:v>330</x:v>
      </x:c>
      <x:c r="N297" s="25" t="n">
        <x:v>287</x:v>
      </x:c>
      <x:c r="O297" s="25" t="n">
        <x:v>180</x:v>
      </x:c>
      <x:c r="P297" s="25" t="n">
        <x:f>L297+N297</x:f>
        <x:v>1216</x:v>
      </x:c>
      <x:c r="Q297" s="25" t="n">
        <x:f>M297+O297</x:f>
        <x:v>510</x:v>
      </x:c>
      <x:c r="R297" s="25" t="n">
        <x:f>MAX(0,MIN(J297,P297)-MAX(F297,L297))</x:f>
        <x:v>0</x:v>
      </x:c>
      <x:c r="S297" s="25" t="n">
        <x:f>MAX(0,MIN(K297,Q297)-MAX(G297,M297))</x:f>
        <x:v>180</x:v>
      </x:c>
      <x:c r="T297" s="25" t="n">
        <x:f>R297*S297</x:f>
        <x:v>0</x:v>
      </x:c>
      <x:c r="U297" s="24" t="str">
        <x:f>IF(T297&gt;0,"ERREUR chevauchement","OK aucun chevauchement")</x:f>
        <x:v>OK aucun chevauchement</x:v>
      </x:c>
      <x:c r="V297" s="24" t="str">
        <x:v>OK aucun chevauchement</x:v>
      </x:c>
      <x:c r="W297" s="24" t="str">
        <x:v>Si ERREUR : déplacer/redimensionner l’objet B ou créer un bookmark/masquage</x:v>
      </x:c>
    </x:row>
    <x:row r="298">
      <x:c r="A298" s="24" t="str">
        <x:v>Réseau MIA Tableau</x:v>
      </x:c>
      <x:c r="B298" s="24" t="str">
        <x:v>G03_KPI_Row</x:v>
      </x:c>
      <x:c r="C298" s="24" t="str">
        <x:v>KPI_Card_02</x:v>
      </x:c>
      <x:c r="D298" s="24" t="str">
        <x:v>G03_KPI_Row</x:v>
      </x:c>
      <x:c r="E298" s="24" t="str">
        <x:v>KPI_Card_05</x:v>
      </x:c>
      <x:c r="F298" s="25" t="n">
        <x:v>323</x:v>
      </x:c>
      <x:c r="G298" s="25" t="n">
        <x:v>330</x:v>
      </x:c>
      <x:c r="H298" s="25" t="n">
        <x:v>287</x:v>
      </x:c>
      <x:c r="I298" s="25" t="n">
        <x:v>180</x:v>
      </x:c>
      <x:c r="J298" s="25" t="n">
        <x:f>F298+H298</x:f>
        <x:v>610</x:v>
      </x:c>
      <x:c r="K298" s="25" t="n">
        <x:f>G298+I298</x:f>
        <x:v>510</x:v>
      </x:c>
      <x:c r="L298" s="25" t="n">
        <x:v>1232</x:v>
      </x:c>
      <x:c r="M298" s="25" t="n">
        <x:v>330</x:v>
      </x:c>
      <x:c r="N298" s="25" t="n">
        <x:v>287</x:v>
      </x:c>
      <x:c r="O298" s="25" t="n">
        <x:v>180</x:v>
      </x:c>
      <x:c r="P298" s="25" t="n">
        <x:f>L298+N298</x:f>
        <x:v>1519</x:v>
      </x:c>
      <x:c r="Q298" s="25" t="n">
        <x:f>M298+O298</x:f>
        <x:v>510</x:v>
      </x:c>
      <x:c r="R298" s="25" t="n">
        <x:f>MAX(0,MIN(J298,P298)-MAX(F298,L298))</x:f>
        <x:v>0</x:v>
      </x:c>
      <x:c r="S298" s="25" t="n">
        <x:f>MAX(0,MIN(K298,Q298)-MAX(G298,M298))</x:f>
        <x:v>180</x:v>
      </x:c>
      <x:c r="T298" s="25" t="n">
        <x:f>R298*S298</x:f>
        <x:v>0</x:v>
      </x:c>
      <x:c r="U298" s="24" t="str">
        <x:f>IF(T298&gt;0,"ERREUR chevauchement","OK aucun chevauchement")</x:f>
        <x:v>OK aucun chevauchement</x:v>
      </x:c>
      <x:c r="V298" s="24" t="str">
        <x:v>OK aucun chevauchement</x:v>
      </x:c>
      <x:c r="W298" s="24" t="str">
        <x:v>Si ERREUR : déplacer/redimensionner l’objet B ou créer un bookmark/masquage</x:v>
      </x:c>
    </x:row>
    <x:row r="299">
      <x:c r="A299" s="24" t="str">
        <x:v>Réseau MIA Tableau</x:v>
      </x:c>
      <x:c r="B299" s="24" t="str">
        <x:v>G03_KPI_Row</x:v>
      </x:c>
      <x:c r="C299" s="24" t="str">
        <x:v>KPI_Card_02</x:v>
      </x:c>
      <x:c r="D299" s="24" t="str">
        <x:v>G04_Map_Main</x:v>
      </x:c>
      <x:c r="E299" s="24" t="str">
        <x:v>Map_Carte_France</x:v>
      </x:c>
      <x:c r="F299" s="25" t="n">
        <x:v>323</x:v>
      </x:c>
      <x:c r="G299" s="25" t="n">
        <x:v>330</x:v>
      </x:c>
      <x:c r="H299" s="25" t="n">
        <x:v>287</x:v>
      </x:c>
      <x:c r="I299" s="25" t="n">
        <x:v>180</x:v>
      </x:c>
      <x:c r="J299" s="25" t="n">
        <x:f>F299+H299</x:f>
        <x:v>610</x:v>
      </x:c>
      <x:c r="K299" s="25" t="n">
        <x:f>G299+I299</x:f>
        <x:v>510</x:v>
      </x:c>
      <x:c r="L299" s="25" t="n">
        <x:v>20</x:v>
      </x:c>
      <x:c r="M299" s="25" t="n">
        <x:v>535</x:v>
      </x:c>
      <x:c r="N299" s="25" t="n">
        <x:v>830</x:v>
      </x:c>
      <x:c r="O299" s="25" t="n">
        <x:v>560</x:v>
      </x:c>
      <x:c r="P299" s="25" t="n">
        <x:f>L299+N299</x:f>
        <x:v>850</x:v>
      </x:c>
      <x:c r="Q299" s="25" t="n">
        <x:f>M299+O299</x:f>
        <x:v>1095</x:v>
      </x:c>
      <x:c r="R299" s="25" t="n">
        <x:f>MAX(0,MIN(J299,P299)-MAX(F299,L299))</x:f>
        <x:v>287</x:v>
      </x:c>
      <x:c r="S299" s="25" t="n">
        <x:f>MAX(0,MIN(K299,Q299)-MAX(G299,M299))</x:f>
        <x:v>0</x:v>
      </x:c>
      <x:c r="T299" s="25" t="n">
        <x:f>R299*S299</x:f>
        <x:v>0</x:v>
      </x:c>
      <x:c r="U299" s="24" t="str">
        <x:f>IF(T299&gt;0,"ERREUR chevauchement","OK aucun chevauchement")</x:f>
        <x:v>OK aucun chevauchement</x:v>
      </x:c>
      <x:c r="V299" s="24" t="str">
        <x:v>OK aucun chevauchement</x:v>
      </x:c>
      <x:c r="W299" s="24" t="str">
        <x:v>Si ERREUR : déplacer/redimensionner l’objet B ou créer un bookmark/masquage</x:v>
      </x:c>
    </x:row>
    <x:row r="300">
      <x:c r="A300" s="24" t="str">
        <x:v>Réseau MIA Tableau</x:v>
      </x:c>
      <x:c r="B300" s="24" t="str">
        <x:v>G03_KPI_Row</x:v>
      </x:c>
      <x:c r="C300" s="24" t="str">
        <x:v>KPI_Card_02</x:v>
      </x:c>
      <x:c r="D300" s="24" t="str">
        <x:v>G05_Right_Analytics</x:v>
      </x:c>
      <x:c r="E300" s="24" t="str">
        <x:v>Donut_CSP</x:v>
      </x:c>
      <x:c r="F300" s="25" t="n">
        <x:v>323</x:v>
      </x:c>
      <x:c r="G300" s="25" t="n">
        <x:v>330</x:v>
      </x:c>
      <x:c r="H300" s="25" t="n">
        <x:v>287</x:v>
      </x:c>
      <x:c r="I300" s="25" t="n">
        <x:v>180</x:v>
      </x:c>
      <x:c r="J300" s="25" t="n">
        <x:f>F300+H300</x:f>
        <x:v>610</x:v>
      </x:c>
      <x:c r="K300" s="25" t="n">
        <x:f>G300+I300</x:f>
        <x:v>510</x:v>
      </x:c>
      <x:c r="L300" s="25" t="n">
        <x:v>866</x:v>
      </x:c>
      <x:c r="M300" s="25" t="n">
        <x:v>535</x:v>
      </x:c>
      <x:c r="N300" s="25" t="n">
        <x:v>316</x:v>
      </x:c>
      <x:c r="O300" s="25" t="n">
        <x:v>300</x:v>
      </x:c>
      <x:c r="P300" s="25" t="n">
        <x:f>L300+N300</x:f>
        <x:v>1182</x:v>
      </x:c>
      <x:c r="Q300" s="25" t="n">
        <x:f>M300+O300</x:f>
        <x:v>835</x:v>
      </x:c>
      <x:c r="R300" s="25" t="n">
        <x:f>MAX(0,MIN(J300,P300)-MAX(F300,L300))</x:f>
        <x:v>0</x:v>
      </x:c>
      <x:c r="S300" s="25" t="n">
        <x:f>MAX(0,MIN(K300,Q300)-MAX(G300,M300))</x:f>
        <x:v>0</x:v>
      </x:c>
      <x:c r="T300" s="25" t="n">
        <x:f>R300*S300</x:f>
        <x:v>0</x:v>
      </x:c>
      <x:c r="U300" s="24" t="str">
        <x:f>IF(T300&gt;0,"ERREUR chevauchement","OK aucun chevauchement")</x:f>
        <x:v>OK aucun chevauchement</x:v>
      </x:c>
      <x:c r="V300" s="24" t="str">
        <x:v>OK aucun chevauchement</x:v>
      </x:c>
      <x:c r="W300" s="24" t="str">
        <x:v>Si ERREUR : déplacer/redimensionner l’objet B ou créer un bookmark/masquage</x:v>
      </x:c>
    </x:row>
    <x:row r="301">
      <x:c r="A301" s="24" t="str">
        <x:v>Réseau MIA Tableau</x:v>
      </x:c>
      <x:c r="B301" s="24" t="str">
        <x:v>G03_KPI_Row</x:v>
      </x:c>
      <x:c r="C301" s="24" t="str">
        <x:v>KPI_Card_02</x:v>
      </x:c>
      <x:c r="D301" s="24" t="str">
        <x:v>G05_Right_Analytics</x:v>
      </x:c>
      <x:c r="E301" s="24" t="str">
        <x:v>Donut_MIA</x:v>
      </x:c>
      <x:c r="F301" s="25" t="n">
        <x:v>323</x:v>
      </x:c>
      <x:c r="G301" s="25" t="n">
        <x:v>330</x:v>
      </x:c>
      <x:c r="H301" s="25" t="n">
        <x:v>287</x:v>
      </x:c>
      <x:c r="I301" s="25" t="n">
        <x:v>180</x:v>
      </x:c>
      <x:c r="J301" s="25" t="n">
        <x:f>F301+H301</x:f>
        <x:v>610</x:v>
      </x:c>
      <x:c r="K301" s="25" t="n">
        <x:f>G301+I301</x:f>
        <x:v>510</x:v>
      </x:c>
      <x:c r="L301" s="25" t="n">
        <x:v>1198</x:v>
      </x:c>
      <x:c r="M301" s="25" t="n">
        <x:v>535</x:v>
      </x:c>
      <x:c r="N301" s="25" t="n">
        <x:v>322</x:v>
      </x:c>
      <x:c r="O301" s="25" t="n">
        <x:v>300</x:v>
      </x:c>
      <x:c r="P301" s="25" t="n">
        <x:f>L301+N301</x:f>
        <x:v>1520</x:v>
      </x:c>
      <x:c r="Q301" s="25" t="n">
        <x:f>M301+O301</x:f>
        <x:v>835</x:v>
      </x:c>
      <x:c r="R301" s="25" t="n">
        <x:f>MAX(0,MIN(J301,P301)-MAX(F301,L301))</x:f>
        <x:v>0</x:v>
      </x:c>
      <x:c r="S301" s="25" t="n">
        <x:f>MAX(0,MIN(K301,Q301)-MAX(G301,M301))</x:f>
        <x:v>0</x:v>
      </x:c>
      <x:c r="T301" s="25" t="n">
        <x:f>R301*S301</x:f>
        <x:v>0</x:v>
      </x:c>
      <x:c r="U301" s="24" t="str">
        <x:f>IF(T301&gt;0,"ERREUR chevauchement","OK aucun chevauchement")</x:f>
        <x:v>OK aucun chevauchement</x:v>
      </x:c>
      <x:c r="V301" s="24" t="str">
        <x:v>OK aucun chevauchement</x:v>
      </x:c>
      <x:c r="W301" s="24" t="str">
        <x:v>Si ERREUR : déplacer/redimensionner l’objet B ou créer un bookmark/masquage</x:v>
      </x:c>
    </x:row>
    <x:row r="302">
      <x:c r="A302" s="24" t="str">
        <x:v>Réseau MIA Tableau</x:v>
      </x:c>
      <x:c r="B302" s="24" t="str">
        <x:v>G03_KPI_Row</x:v>
      </x:c>
      <x:c r="C302" s="24" t="str">
        <x:v>KPI_Card_02</x:v>
      </x:c>
      <x:c r="D302" s="24" t="str">
        <x:v>G05_Right_Analytics</x:v>
      </x:c>
      <x:c r="E302" s="24" t="str">
        <x:v>Tableau_Compact</x:v>
      </x:c>
      <x:c r="F302" s="25" t="n">
        <x:v>323</x:v>
      </x:c>
      <x:c r="G302" s="25" t="n">
        <x:v>330</x:v>
      </x:c>
      <x:c r="H302" s="25" t="n">
        <x:v>287</x:v>
      </x:c>
      <x:c r="I302" s="25" t="n">
        <x:v>180</x:v>
      </x:c>
      <x:c r="J302" s="25" t="n">
        <x:f>F302+H302</x:f>
        <x:v>610</x:v>
      </x:c>
      <x:c r="K302" s="25" t="n">
        <x:f>G302+I302</x:f>
        <x:v>510</x:v>
      </x:c>
      <x:c r="L302" s="25" t="n">
        <x:v>866</x:v>
      </x:c>
      <x:c r="M302" s="25" t="n">
        <x:v>851</x:v>
      </x:c>
      <x:c r="N302" s="25" t="n">
        <x:v>654</x:v>
      </x:c>
      <x:c r="O302" s="25" t="n">
        <x:v>230</x:v>
      </x:c>
      <x:c r="P302" s="25" t="n">
        <x:f>L302+N302</x:f>
        <x:v>1520</x:v>
      </x:c>
      <x:c r="Q302" s="25" t="n">
        <x:f>M302+O302</x:f>
        <x:v>1081</x:v>
      </x:c>
      <x:c r="R302" s="25" t="n">
        <x:f>MAX(0,MIN(J302,P302)-MAX(F302,L302))</x:f>
        <x:v>0</x:v>
      </x:c>
      <x:c r="S302" s="25" t="n">
        <x:f>MAX(0,MIN(K302,Q302)-MAX(G302,M302))</x:f>
        <x:v>0</x:v>
      </x:c>
      <x:c r="T302" s="25" t="n">
        <x:f>R302*S302</x:f>
        <x:v>0</x:v>
      </x:c>
      <x:c r="U302" s="24" t="str">
        <x:f>IF(T302&gt;0,"ERREUR chevauchement","OK aucun chevauchement")</x:f>
        <x:v>OK aucun chevauchement</x:v>
      </x:c>
      <x:c r="V302" s="24" t="str">
        <x:v>OK aucun chevauchement</x:v>
      </x:c>
      <x:c r="W302" s="24" t="str">
        <x:v>Si ERREUR : déplacer/redimensionner l’objet B ou créer un bookmark/masquage</x:v>
      </x:c>
    </x:row>
    <x:row r="303">
      <x:c r="A303" s="24" t="str">
        <x:v>Réseau MIA Tableau</x:v>
      </x:c>
      <x:c r="B303" s="24" t="str">
        <x:v>G03_KPI_Row</x:v>
      </x:c>
      <x:c r="C303" s="24" t="str">
        <x:v>KPI_Card_02</x:v>
      </x:c>
      <x:c r="D303" s="24" t="str">
        <x:v>G05_Right_Analytics</x:v>
      </x:c>
      <x:c r="E303" s="24" t="str">
        <x:v>Bar_MIA_Productifs</x:v>
      </x:c>
      <x:c r="F303" s="25" t="n">
        <x:v>323</x:v>
      </x:c>
      <x:c r="G303" s="25" t="n">
        <x:v>330</x:v>
      </x:c>
      <x:c r="H303" s="25" t="n">
        <x:v>287</x:v>
      </x:c>
      <x:c r="I303" s="25" t="n">
        <x:v>180</x:v>
      </x:c>
      <x:c r="J303" s="25" t="n">
        <x:f>F303+H303</x:f>
        <x:v>610</x:v>
      </x:c>
      <x:c r="K303" s="25" t="n">
        <x:f>G303+I303</x:f>
        <x:v>510</x:v>
      </x:c>
      <x:c r="L303" s="25" t="n">
        <x:v>866</x:v>
      </x:c>
      <x:c r="M303" s="25" t="n">
        <x:v>1097</x:v>
      </x:c>
      <x:c r="N303" s="25" t="n">
        <x:v>654</x:v>
      </x:c>
      <x:c r="O303" s="25" t="n">
        <x:v>300</x:v>
      </x:c>
      <x:c r="P303" s="25" t="n">
        <x:f>L303+N303</x:f>
        <x:v>1520</x:v>
      </x:c>
      <x:c r="Q303" s="25" t="n">
        <x:f>M303+O303</x:f>
        <x:v>1397</x:v>
      </x:c>
      <x:c r="R303" s="25" t="n">
        <x:f>MAX(0,MIN(J303,P303)-MAX(F303,L303))</x:f>
        <x:v>0</x:v>
      </x:c>
      <x:c r="S303" s="25" t="n">
        <x:f>MAX(0,MIN(K303,Q303)-MAX(G303,M303))</x:f>
        <x:v>0</x:v>
      </x:c>
      <x:c r="T303" s="25" t="n">
        <x:f>R303*S303</x:f>
        <x:v>0</x:v>
      </x:c>
      <x:c r="U303" s="24" t="str">
        <x:f>IF(T303&gt;0,"ERREUR chevauchement","OK aucun chevauchement")</x:f>
        <x:v>OK aucun chevauchement</x:v>
      </x:c>
      <x:c r="V303" s="24" t="str">
        <x:v>OK aucun chevauchement</x:v>
      </x:c>
      <x:c r="W303" s="24" t="str">
        <x:v>Si ERREUR : déplacer/redimensionner l’objet B ou créer un bookmark/masquage</x:v>
      </x:c>
    </x:row>
    <x:row r="304">
      <x:c r="A304" s="24" t="str">
        <x:v>Réseau MIA Tableau</x:v>
      </x:c>
      <x:c r="B304" s="24" t="str">
        <x:v>G03_KPI_Row</x:v>
      </x:c>
      <x:c r="C304" s="24" t="str">
        <x:v>KPI_Card_02</x:v>
      </x:c>
      <x:c r="D304" s="24" t="str">
        <x:v>G06_Table_Detail</x:v>
      </x:c>
      <x:c r="E304" s="24" t="str">
        <x:v>Tableau_Reseau_Detaille</x:v>
      </x:c>
      <x:c r="F304" s="25" t="n">
        <x:v>323</x:v>
      </x:c>
      <x:c r="G304" s="25" t="n">
        <x:v>330</x:v>
      </x:c>
      <x:c r="H304" s="25" t="n">
        <x:v>287</x:v>
      </x:c>
      <x:c r="I304" s="25" t="n">
        <x:v>180</x:v>
      </x:c>
      <x:c r="J304" s="25" t="n">
        <x:f>F304+H304</x:f>
        <x:v>610</x:v>
      </x:c>
      <x:c r="K304" s="25" t="n">
        <x:f>G304+I304</x:f>
        <x:v>510</x:v>
      </x:c>
      <x:c r="L304" s="25" t="n">
        <x:v>20</x:v>
      </x:c>
      <x:c r="M304" s="25" t="n">
        <x:v>1417</x:v>
      </x:c>
      <x:c r="N304" s="25" t="n">
        <x:v>1500</x:v>
      </x:c>
      <x:c r="O304" s="25" t="n">
        <x:v>300</x:v>
      </x:c>
      <x:c r="P304" s="25" t="n">
        <x:f>L304+N304</x:f>
        <x:v>1520</x:v>
      </x:c>
      <x:c r="Q304" s="25" t="n">
        <x:f>M304+O304</x:f>
        <x:v>1717</x:v>
      </x:c>
      <x:c r="R304" s="25" t="n">
        <x:f>MAX(0,MIN(J304,P304)-MAX(F304,L304))</x:f>
        <x:v>287</x:v>
      </x:c>
      <x:c r="S304" s="25" t="n">
        <x:f>MAX(0,MIN(K304,Q304)-MAX(G304,M304))</x:f>
        <x:v>0</x:v>
      </x:c>
      <x:c r="T304" s="25" t="n">
        <x:f>R304*S304</x:f>
        <x:v>0</x:v>
      </x:c>
      <x:c r="U304" s="24" t="str">
        <x:f>IF(T304&gt;0,"ERREUR chevauchement","OK aucun chevauchement")</x:f>
        <x:v>OK aucun chevauchement</x:v>
      </x:c>
      <x:c r="V304" s="24" t="str">
        <x:v>OK aucun chevauchement</x:v>
      </x:c>
      <x:c r="W304" s="24" t="str">
        <x:v>Si ERREUR : déplacer/redimensionner l’objet B ou créer un bookmark/masquage</x:v>
      </x:c>
    </x:row>
    <x:row r="305">
      <x:c r="A305" s="24" t="str">
        <x:v>Réseau MIA Tableau</x:v>
      </x:c>
      <x:c r="B305" s="24" t="str">
        <x:v>G03_KPI_Row</x:v>
      </x:c>
      <x:c r="C305" s="24" t="str">
        <x:v>KPI_Card_03</x:v>
      </x:c>
      <x:c r="D305" s="24" t="str">
        <x:v>G03_KPI_Row</x:v>
      </x:c>
      <x:c r="E305" s="24" t="str">
        <x:v>KPI_Card_04</x:v>
      </x:c>
      <x:c r="F305" s="25" t="n">
        <x:v>626</x:v>
      </x:c>
      <x:c r="G305" s="25" t="n">
        <x:v>330</x:v>
      </x:c>
      <x:c r="H305" s="25" t="n">
        <x:v>287</x:v>
      </x:c>
      <x:c r="I305" s="25" t="n">
        <x:v>180</x:v>
      </x:c>
      <x:c r="J305" s="25" t="n">
        <x:f>F305+H305</x:f>
        <x:v>913</x:v>
      </x:c>
      <x:c r="K305" s="25" t="n">
        <x:f>G305+I305</x:f>
        <x:v>510</x:v>
      </x:c>
      <x:c r="L305" s="25" t="n">
        <x:v>929</x:v>
      </x:c>
      <x:c r="M305" s="25" t="n">
        <x:v>330</x:v>
      </x:c>
      <x:c r="N305" s="25" t="n">
        <x:v>287</x:v>
      </x:c>
      <x:c r="O305" s="25" t="n">
        <x:v>180</x:v>
      </x:c>
      <x:c r="P305" s="25" t="n">
        <x:f>L305+N305</x:f>
        <x:v>1216</x:v>
      </x:c>
      <x:c r="Q305" s="25" t="n">
        <x:f>M305+O305</x:f>
        <x:v>510</x:v>
      </x:c>
      <x:c r="R305" s="25" t="n">
        <x:f>MAX(0,MIN(J305,P305)-MAX(F305,L305))</x:f>
        <x:v>0</x:v>
      </x:c>
      <x:c r="S305" s="25" t="n">
        <x:f>MAX(0,MIN(K305,Q305)-MAX(G305,M305))</x:f>
        <x:v>180</x:v>
      </x:c>
      <x:c r="T305" s="25" t="n">
        <x:f>R305*S305</x:f>
        <x:v>0</x:v>
      </x:c>
      <x:c r="U305" s="24" t="str">
        <x:f>IF(T305&gt;0,"ERREUR chevauchement","OK aucun chevauchement")</x:f>
        <x:v>OK aucun chevauchement</x:v>
      </x:c>
      <x:c r="V305" s="24" t="str">
        <x:v>OK aucun chevauchement</x:v>
      </x:c>
      <x:c r="W305" s="24" t="str">
        <x:v>Si ERREUR : déplacer/redimensionner l’objet B ou créer un bookmark/masquage</x:v>
      </x:c>
    </x:row>
    <x:row r="306">
      <x:c r="A306" s="24" t="str">
        <x:v>Réseau MIA Tableau</x:v>
      </x:c>
      <x:c r="B306" s="24" t="str">
        <x:v>G03_KPI_Row</x:v>
      </x:c>
      <x:c r="C306" s="24" t="str">
        <x:v>KPI_Card_03</x:v>
      </x:c>
      <x:c r="D306" s="24" t="str">
        <x:v>G03_KPI_Row</x:v>
      </x:c>
      <x:c r="E306" s="24" t="str">
        <x:v>KPI_Card_05</x:v>
      </x:c>
      <x:c r="F306" s="25" t="n">
        <x:v>626</x:v>
      </x:c>
      <x:c r="G306" s="25" t="n">
        <x:v>330</x:v>
      </x:c>
      <x:c r="H306" s="25" t="n">
        <x:v>287</x:v>
      </x:c>
      <x:c r="I306" s="25" t="n">
        <x:v>180</x:v>
      </x:c>
      <x:c r="J306" s="25" t="n">
        <x:f>F306+H306</x:f>
        <x:v>913</x:v>
      </x:c>
      <x:c r="K306" s="25" t="n">
        <x:f>G306+I306</x:f>
        <x:v>510</x:v>
      </x:c>
      <x:c r="L306" s="25" t="n">
        <x:v>1232</x:v>
      </x:c>
      <x:c r="M306" s="25" t="n">
        <x:v>330</x:v>
      </x:c>
      <x:c r="N306" s="25" t="n">
        <x:v>287</x:v>
      </x:c>
      <x:c r="O306" s="25" t="n">
        <x:v>180</x:v>
      </x:c>
      <x:c r="P306" s="25" t="n">
        <x:f>L306+N306</x:f>
        <x:v>1519</x:v>
      </x:c>
      <x:c r="Q306" s="25" t="n">
        <x:f>M306+O306</x:f>
        <x:v>510</x:v>
      </x:c>
      <x:c r="R306" s="25" t="n">
        <x:f>MAX(0,MIN(J306,P306)-MAX(F306,L306))</x:f>
        <x:v>0</x:v>
      </x:c>
      <x:c r="S306" s="25" t="n">
        <x:f>MAX(0,MIN(K306,Q306)-MAX(G306,M306))</x:f>
        <x:v>180</x:v>
      </x:c>
      <x:c r="T306" s="25" t="n">
        <x:f>R306*S306</x:f>
        <x:v>0</x:v>
      </x:c>
      <x:c r="U306" s="24" t="str">
        <x:f>IF(T306&gt;0,"ERREUR chevauchement","OK aucun chevauchement")</x:f>
        <x:v>OK aucun chevauchement</x:v>
      </x:c>
      <x:c r="V306" s="24" t="str">
        <x:v>OK aucun chevauchement</x:v>
      </x:c>
      <x:c r="W306" s="24" t="str">
        <x:v>Si ERREUR : déplacer/redimensionner l’objet B ou créer un bookmark/masquage</x:v>
      </x:c>
    </x:row>
    <x:row r="307">
      <x:c r="A307" s="24" t="str">
        <x:v>Réseau MIA Tableau</x:v>
      </x:c>
      <x:c r="B307" s="24" t="str">
        <x:v>G03_KPI_Row</x:v>
      </x:c>
      <x:c r="C307" s="24" t="str">
        <x:v>KPI_Card_03</x:v>
      </x:c>
      <x:c r="D307" s="24" t="str">
        <x:v>G04_Map_Main</x:v>
      </x:c>
      <x:c r="E307" s="24" t="str">
        <x:v>Map_Carte_France</x:v>
      </x:c>
      <x:c r="F307" s="25" t="n">
        <x:v>626</x:v>
      </x:c>
      <x:c r="G307" s="25" t="n">
        <x:v>330</x:v>
      </x:c>
      <x:c r="H307" s="25" t="n">
        <x:v>287</x:v>
      </x:c>
      <x:c r="I307" s="25" t="n">
        <x:v>180</x:v>
      </x:c>
      <x:c r="J307" s="25" t="n">
        <x:f>F307+H307</x:f>
        <x:v>913</x:v>
      </x:c>
      <x:c r="K307" s="25" t="n">
        <x:f>G307+I307</x:f>
        <x:v>510</x:v>
      </x:c>
      <x:c r="L307" s="25" t="n">
        <x:v>20</x:v>
      </x:c>
      <x:c r="M307" s="25" t="n">
        <x:v>535</x:v>
      </x:c>
      <x:c r="N307" s="25" t="n">
        <x:v>830</x:v>
      </x:c>
      <x:c r="O307" s="25" t="n">
        <x:v>560</x:v>
      </x:c>
      <x:c r="P307" s="25" t="n">
        <x:f>L307+N307</x:f>
        <x:v>850</x:v>
      </x:c>
      <x:c r="Q307" s="25" t="n">
        <x:f>M307+O307</x:f>
        <x:v>1095</x:v>
      </x:c>
      <x:c r="R307" s="25" t="n">
        <x:f>MAX(0,MIN(J307,P307)-MAX(F307,L307))</x:f>
        <x:v>224</x:v>
      </x:c>
      <x:c r="S307" s="25" t="n">
        <x:f>MAX(0,MIN(K307,Q307)-MAX(G307,M307))</x:f>
        <x:v>0</x:v>
      </x:c>
      <x:c r="T307" s="25" t="n">
        <x:f>R307*S307</x:f>
        <x:v>0</x:v>
      </x:c>
      <x:c r="U307" s="24" t="str">
        <x:f>IF(T307&gt;0,"ERREUR chevauchement","OK aucun chevauchement")</x:f>
        <x:v>OK aucun chevauchement</x:v>
      </x:c>
      <x:c r="V307" s="24" t="str">
        <x:v>OK aucun chevauchement</x:v>
      </x:c>
      <x:c r="W307" s="24" t="str">
        <x:v>Si ERREUR : déplacer/redimensionner l’objet B ou créer un bookmark/masquage</x:v>
      </x:c>
    </x:row>
    <x:row r="308">
      <x:c r="A308" s="24" t="str">
        <x:v>Réseau MIA Tableau</x:v>
      </x:c>
      <x:c r="B308" s="24" t="str">
        <x:v>G03_KPI_Row</x:v>
      </x:c>
      <x:c r="C308" s="24" t="str">
        <x:v>KPI_Card_03</x:v>
      </x:c>
      <x:c r="D308" s="24" t="str">
        <x:v>G05_Right_Analytics</x:v>
      </x:c>
      <x:c r="E308" s="24" t="str">
        <x:v>Donut_CSP</x:v>
      </x:c>
      <x:c r="F308" s="25" t="n">
        <x:v>626</x:v>
      </x:c>
      <x:c r="G308" s="25" t="n">
        <x:v>330</x:v>
      </x:c>
      <x:c r="H308" s="25" t="n">
        <x:v>287</x:v>
      </x:c>
      <x:c r="I308" s="25" t="n">
        <x:v>180</x:v>
      </x:c>
      <x:c r="J308" s="25" t="n">
        <x:f>F308+H308</x:f>
        <x:v>913</x:v>
      </x:c>
      <x:c r="K308" s="25" t="n">
        <x:f>G308+I308</x:f>
        <x:v>510</x:v>
      </x:c>
      <x:c r="L308" s="25" t="n">
        <x:v>866</x:v>
      </x:c>
      <x:c r="M308" s="25" t="n">
        <x:v>535</x:v>
      </x:c>
      <x:c r="N308" s="25" t="n">
        <x:v>316</x:v>
      </x:c>
      <x:c r="O308" s="25" t="n">
        <x:v>300</x:v>
      </x:c>
      <x:c r="P308" s="25" t="n">
        <x:f>L308+N308</x:f>
        <x:v>1182</x:v>
      </x:c>
      <x:c r="Q308" s="25" t="n">
        <x:f>M308+O308</x:f>
        <x:v>835</x:v>
      </x:c>
      <x:c r="R308" s="25" t="n">
        <x:f>MAX(0,MIN(J308,P308)-MAX(F308,L308))</x:f>
        <x:v>47</x:v>
      </x:c>
      <x:c r="S308" s="25" t="n">
        <x:f>MAX(0,MIN(K308,Q308)-MAX(G308,M308))</x:f>
        <x:v>0</x:v>
      </x:c>
      <x:c r="T308" s="25" t="n">
        <x:f>R308*S308</x:f>
        <x:v>0</x:v>
      </x:c>
      <x:c r="U308" s="24" t="str">
        <x:f>IF(T308&gt;0,"ERREUR chevauchement","OK aucun chevauchement")</x:f>
        <x:v>OK aucun chevauchement</x:v>
      </x:c>
      <x:c r="V308" s="24" t="str">
        <x:v>OK aucun chevauchement</x:v>
      </x:c>
      <x:c r="W308" s="24" t="str">
        <x:v>Si ERREUR : déplacer/redimensionner l’objet B ou créer un bookmark/masquage</x:v>
      </x:c>
    </x:row>
    <x:row r="309">
      <x:c r="A309" s="24" t="str">
        <x:v>Réseau MIA Tableau</x:v>
      </x:c>
      <x:c r="B309" s="24" t="str">
        <x:v>G03_KPI_Row</x:v>
      </x:c>
      <x:c r="C309" s="24" t="str">
        <x:v>KPI_Card_03</x:v>
      </x:c>
      <x:c r="D309" s="24" t="str">
        <x:v>G05_Right_Analytics</x:v>
      </x:c>
      <x:c r="E309" s="24" t="str">
        <x:v>Donut_MIA</x:v>
      </x:c>
      <x:c r="F309" s="25" t="n">
        <x:v>626</x:v>
      </x:c>
      <x:c r="G309" s="25" t="n">
        <x:v>330</x:v>
      </x:c>
      <x:c r="H309" s="25" t="n">
        <x:v>287</x:v>
      </x:c>
      <x:c r="I309" s="25" t="n">
        <x:v>180</x:v>
      </x:c>
      <x:c r="J309" s="25" t="n">
        <x:f>F309+H309</x:f>
        <x:v>913</x:v>
      </x:c>
      <x:c r="K309" s="25" t="n">
        <x:f>G309+I309</x:f>
        <x:v>510</x:v>
      </x:c>
      <x:c r="L309" s="25" t="n">
        <x:v>1198</x:v>
      </x:c>
      <x:c r="M309" s="25" t="n">
        <x:v>535</x:v>
      </x:c>
      <x:c r="N309" s="25" t="n">
        <x:v>322</x:v>
      </x:c>
      <x:c r="O309" s="25" t="n">
        <x:v>300</x:v>
      </x:c>
      <x:c r="P309" s="25" t="n">
        <x:f>L309+N309</x:f>
        <x:v>1520</x:v>
      </x:c>
      <x:c r="Q309" s="25" t="n">
        <x:f>M309+O309</x:f>
        <x:v>835</x:v>
      </x:c>
      <x:c r="R309" s="25" t="n">
        <x:f>MAX(0,MIN(J309,P309)-MAX(F309,L309))</x:f>
        <x:v>0</x:v>
      </x:c>
      <x:c r="S309" s="25" t="n">
        <x:f>MAX(0,MIN(K309,Q309)-MAX(G309,M309))</x:f>
        <x:v>0</x:v>
      </x:c>
      <x:c r="T309" s="25" t="n">
        <x:f>R309*S309</x:f>
        <x:v>0</x:v>
      </x:c>
      <x:c r="U309" s="24" t="str">
        <x:f>IF(T309&gt;0,"ERREUR chevauchement","OK aucun chevauchement")</x:f>
        <x:v>OK aucun chevauchement</x:v>
      </x:c>
      <x:c r="V309" s="24" t="str">
        <x:v>OK aucun chevauchement</x:v>
      </x:c>
      <x:c r="W309" s="24" t="str">
        <x:v>Si ERREUR : déplacer/redimensionner l’objet B ou créer un bookmark/masquage</x:v>
      </x:c>
    </x:row>
    <x:row r="310">
      <x:c r="A310" s="24" t="str">
        <x:v>Réseau MIA Tableau</x:v>
      </x:c>
      <x:c r="B310" s="24" t="str">
        <x:v>G03_KPI_Row</x:v>
      </x:c>
      <x:c r="C310" s="24" t="str">
        <x:v>KPI_Card_03</x:v>
      </x:c>
      <x:c r="D310" s="24" t="str">
        <x:v>G05_Right_Analytics</x:v>
      </x:c>
      <x:c r="E310" s="24" t="str">
        <x:v>Tableau_Compact</x:v>
      </x:c>
      <x:c r="F310" s="25" t="n">
        <x:v>626</x:v>
      </x:c>
      <x:c r="G310" s="25" t="n">
        <x:v>330</x:v>
      </x:c>
      <x:c r="H310" s="25" t="n">
        <x:v>287</x:v>
      </x:c>
      <x:c r="I310" s="25" t="n">
        <x:v>180</x:v>
      </x:c>
      <x:c r="J310" s="25" t="n">
        <x:f>F310+H310</x:f>
        <x:v>913</x:v>
      </x:c>
      <x:c r="K310" s="25" t="n">
        <x:f>G310+I310</x:f>
        <x:v>510</x:v>
      </x:c>
      <x:c r="L310" s="25" t="n">
        <x:v>866</x:v>
      </x:c>
      <x:c r="M310" s="25" t="n">
        <x:v>851</x:v>
      </x:c>
      <x:c r="N310" s="25" t="n">
        <x:v>654</x:v>
      </x:c>
      <x:c r="O310" s="25" t="n">
        <x:v>230</x:v>
      </x:c>
      <x:c r="P310" s="25" t="n">
        <x:f>L310+N310</x:f>
        <x:v>1520</x:v>
      </x:c>
      <x:c r="Q310" s="25" t="n">
        <x:f>M310+O310</x:f>
        <x:v>1081</x:v>
      </x:c>
      <x:c r="R310" s="25" t="n">
        <x:f>MAX(0,MIN(J310,P310)-MAX(F310,L310))</x:f>
        <x:v>47</x:v>
      </x:c>
      <x:c r="S310" s="25" t="n">
        <x:f>MAX(0,MIN(K310,Q310)-MAX(G310,M310))</x:f>
        <x:v>0</x:v>
      </x:c>
      <x:c r="T310" s="25" t="n">
        <x:f>R310*S310</x:f>
        <x:v>0</x:v>
      </x:c>
      <x:c r="U310" s="24" t="str">
        <x:f>IF(T310&gt;0,"ERREUR chevauchement","OK aucun chevauchement")</x:f>
        <x:v>OK aucun chevauchement</x:v>
      </x:c>
      <x:c r="V310" s="24" t="str">
        <x:v>OK aucun chevauchement</x:v>
      </x:c>
      <x:c r="W310" s="24" t="str">
        <x:v>Si ERREUR : déplacer/redimensionner l’objet B ou créer un bookmark/masquage</x:v>
      </x:c>
    </x:row>
    <x:row r="311">
      <x:c r="A311" s="24" t="str">
        <x:v>Réseau MIA Tableau</x:v>
      </x:c>
      <x:c r="B311" s="24" t="str">
        <x:v>G03_KPI_Row</x:v>
      </x:c>
      <x:c r="C311" s="24" t="str">
        <x:v>KPI_Card_03</x:v>
      </x:c>
      <x:c r="D311" s="24" t="str">
        <x:v>G05_Right_Analytics</x:v>
      </x:c>
      <x:c r="E311" s="24" t="str">
        <x:v>Bar_MIA_Productifs</x:v>
      </x:c>
      <x:c r="F311" s="25" t="n">
        <x:v>626</x:v>
      </x:c>
      <x:c r="G311" s="25" t="n">
        <x:v>330</x:v>
      </x:c>
      <x:c r="H311" s="25" t="n">
        <x:v>287</x:v>
      </x:c>
      <x:c r="I311" s="25" t="n">
        <x:v>180</x:v>
      </x:c>
      <x:c r="J311" s="25" t="n">
        <x:f>F311+H311</x:f>
        <x:v>913</x:v>
      </x:c>
      <x:c r="K311" s="25" t="n">
        <x:f>G311+I311</x:f>
        <x:v>510</x:v>
      </x:c>
      <x:c r="L311" s="25" t="n">
        <x:v>866</x:v>
      </x:c>
      <x:c r="M311" s="25" t="n">
        <x:v>1097</x:v>
      </x:c>
      <x:c r="N311" s="25" t="n">
        <x:v>654</x:v>
      </x:c>
      <x:c r="O311" s="25" t="n">
        <x:v>300</x:v>
      </x:c>
      <x:c r="P311" s="25" t="n">
        <x:f>L311+N311</x:f>
        <x:v>1520</x:v>
      </x:c>
      <x:c r="Q311" s="25" t="n">
        <x:f>M311+O311</x:f>
        <x:v>1397</x:v>
      </x:c>
      <x:c r="R311" s="25" t="n">
        <x:f>MAX(0,MIN(J311,P311)-MAX(F311,L311))</x:f>
        <x:v>47</x:v>
      </x:c>
      <x:c r="S311" s="25" t="n">
        <x:f>MAX(0,MIN(K311,Q311)-MAX(G311,M311))</x:f>
        <x:v>0</x:v>
      </x:c>
      <x:c r="T311" s="25" t="n">
        <x:f>R311*S311</x:f>
        <x:v>0</x:v>
      </x:c>
      <x:c r="U311" s="24" t="str">
        <x:f>IF(T311&gt;0,"ERREUR chevauchement","OK aucun chevauchement")</x:f>
        <x:v>OK aucun chevauchement</x:v>
      </x:c>
      <x:c r="V311" s="24" t="str">
        <x:v>OK aucun chevauchement</x:v>
      </x:c>
      <x:c r="W311" s="24" t="str">
        <x:v>Si ERREUR : déplacer/redimensionner l’objet B ou créer un bookmark/masquage</x:v>
      </x:c>
    </x:row>
    <x:row r="312">
      <x:c r="A312" s="24" t="str">
        <x:v>Réseau MIA Tableau</x:v>
      </x:c>
      <x:c r="B312" s="24" t="str">
        <x:v>G03_KPI_Row</x:v>
      </x:c>
      <x:c r="C312" s="24" t="str">
        <x:v>KPI_Card_03</x:v>
      </x:c>
      <x:c r="D312" s="24" t="str">
        <x:v>G06_Table_Detail</x:v>
      </x:c>
      <x:c r="E312" s="24" t="str">
        <x:v>Tableau_Reseau_Detaille</x:v>
      </x:c>
      <x:c r="F312" s="25" t="n">
        <x:v>626</x:v>
      </x:c>
      <x:c r="G312" s="25" t="n">
        <x:v>330</x:v>
      </x:c>
      <x:c r="H312" s="25" t="n">
        <x:v>287</x:v>
      </x:c>
      <x:c r="I312" s="25" t="n">
        <x:v>180</x:v>
      </x:c>
      <x:c r="J312" s="25" t="n">
        <x:f>F312+H312</x:f>
        <x:v>913</x:v>
      </x:c>
      <x:c r="K312" s="25" t="n">
        <x:f>G312+I312</x:f>
        <x:v>510</x:v>
      </x:c>
      <x:c r="L312" s="25" t="n">
        <x:v>20</x:v>
      </x:c>
      <x:c r="M312" s="25" t="n">
        <x:v>1417</x:v>
      </x:c>
      <x:c r="N312" s="25" t="n">
        <x:v>1500</x:v>
      </x:c>
      <x:c r="O312" s="25" t="n">
        <x:v>300</x:v>
      </x:c>
      <x:c r="P312" s="25" t="n">
        <x:f>L312+N312</x:f>
        <x:v>1520</x:v>
      </x:c>
      <x:c r="Q312" s="25" t="n">
        <x:f>M312+O312</x:f>
        <x:v>1717</x:v>
      </x:c>
      <x:c r="R312" s="25" t="n">
        <x:f>MAX(0,MIN(J312,P312)-MAX(F312,L312))</x:f>
        <x:v>287</x:v>
      </x:c>
      <x:c r="S312" s="25" t="n">
        <x:f>MAX(0,MIN(K312,Q312)-MAX(G312,M312))</x:f>
        <x:v>0</x:v>
      </x:c>
      <x:c r="T312" s="25" t="n">
        <x:f>R312*S312</x:f>
        <x:v>0</x:v>
      </x:c>
      <x:c r="U312" s="24" t="str">
        <x:f>IF(T312&gt;0,"ERREUR chevauchement","OK aucun chevauchement")</x:f>
        <x:v>OK aucun chevauchement</x:v>
      </x:c>
      <x:c r="V312" s="24" t="str">
        <x:v>OK aucun chevauchement</x:v>
      </x:c>
      <x:c r="W312" s="24" t="str">
        <x:v>Si ERREUR : déplacer/redimensionner l’objet B ou créer un bookmark/masquage</x:v>
      </x:c>
    </x:row>
    <x:row r="313">
      <x:c r="A313" s="24" t="str">
        <x:v>Réseau MIA Tableau</x:v>
      </x:c>
      <x:c r="B313" s="24" t="str">
        <x:v>G03_KPI_Row</x:v>
      </x:c>
      <x:c r="C313" s="24" t="str">
        <x:v>KPI_Card_04</x:v>
      </x:c>
      <x:c r="D313" s="24" t="str">
        <x:v>G03_KPI_Row</x:v>
      </x:c>
      <x:c r="E313" s="24" t="str">
        <x:v>KPI_Card_05</x:v>
      </x:c>
      <x:c r="F313" s="25" t="n">
        <x:v>929</x:v>
      </x:c>
      <x:c r="G313" s="25" t="n">
        <x:v>330</x:v>
      </x:c>
      <x:c r="H313" s="25" t="n">
        <x:v>287</x:v>
      </x:c>
      <x:c r="I313" s="25" t="n">
        <x:v>180</x:v>
      </x:c>
      <x:c r="J313" s="25" t="n">
        <x:f>F313+H313</x:f>
        <x:v>1216</x:v>
      </x:c>
      <x:c r="K313" s="25" t="n">
        <x:f>G313+I313</x:f>
        <x:v>510</x:v>
      </x:c>
      <x:c r="L313" s="25" t="n">
        <x:v>1232</x:v>
      </x:c>
      <x:c r="M313" s="25" t="n">
        <x:v>330</x:v>
      </x:c>
      <x:c r="N313" s="25" t="n">
        <x:v>287</x:v>
      </x:c>
      <x:c r="O313" s="25" t="n">
        <x:v>180</x:v>
      </x:c>
      <x:c r="P313" s="25" t="n">
        <x:f>L313+N313</x:f>
        <x:v>1519</x:v>
      </x:c>
      <x:c r="Q313" s="25" t="n">
        <x:f>M313+O313</x:f>
        <x:v>510</x:v>
      </x:c>
      <x:c r="R313" s="25" t="n">
        <x:f>MAX(0,MIN(J313,P313)-MAX(F313,L313))</x:f>
        <x:v>0</x:v>
      </x:c>
      <x:c r="S313" s="25" t="n">
        <x:f>MAX(0,MIN(K313,Q313)-MAX(G313,M313))</x:f>
        <x:v>180</x:v>
      </x:c>
      <x:c r="T313" s="25" t="n">
        <x:f>R313*S313</x:f>
        <x:v>0</x:v>
      </x:c>
      <x:c r="U313" s="24" t="str">
        <x:f>IF(T313&gt;0,"ERREUR chevauchement","OK aucun chevauchement")</x:f>
        <x:v>OK aucun chevauchement</x:v>
      </x:c>
      <x:c r="V313" s="24" t="str">
        <x:v>OK aucun chevauchement</x:v>
      </x:c>
      <x:c r="W313" s="24" t="str">
        <x:v>Si ERREUR : déplacer/redimensionner l’objet B ou créer un bookmark/masquage</x:v>
      </x:c>
    </x:row>
    <x:row r="314">
      <x:c r="A314" s="24" t="str">
        <x:v>Réseau MIA Tableau</x:v>
      </x:c>
      <x:c r="B314" s="24" t="str">
        <x:v>G03_KPI_Row</x:v>
      </x:c>
      <x:c r="C314" s="24" t="str">
        <x:v>KPI_Card_04</x:v>
      </x:c>
      <x:c r="D314" s="24" t="str">
        <x:v>G04_Map_Main</x:v>
      </x:c>
      <x:c r="E314" s="24" t="str">
        <x:v>Map_Carte_France</x:v>
      </x:c>
      <x:c r="F314" s="25" t="n">
        <x:v>929</x:v>
      </x:c>
      <x:c r="G314" s="25" t="n">
        <x:v>330</x:v>
      </x:c>
      <x:c r="H314" s="25" t="n">
        <x:v>287</x:v>
      </x:c>
      <x:c r="I314" s="25" t="n">
        <x:v>180</x:v>
      </x:c>
      <x:c r="J314" s="25" t="n">
        <x:f>F314+H314</x:f>
        <x:v>1216</x:v>
      </x:c>
      <x:c r="K314" s="25" t="n">
        <x:f>G314+I314</x:f>
        <x:v>510</x:v>
      </x:c>
      <x:c r="L314" s="25" t="n">
        <x:v>20</x:v>
      </x:c>
      <x:c r="M314" s="25" t="n">
        <x:v>535</x:v>
      </x:c>
      <x:c r="N314" s="25" t="n">
        <x:v>830</x:v>
      </x:c>
      <x:c r="O314" s="25" t="n">
        <x:v>560</x:v>
      </x:c>
      <x:c r="P314" s="25" t="n">
        <x:f>L314+N314</x:f>
        <x:v>850</x:v>
      </x:c>
      <x:c r="Q314" s="25" t="n">
        <x:f>M314+O314</x:f>
        <x:v>1095</x:v>
      </x:c>
      <x:c r="R314" s="25" t="n">
        <x:f>MAX(0,MIN(J314,P314)-MAX(F314,L314))</x:f>
        <x:v>0</x:v>
      </x:c>
      <x:c r="S314" s="25" t="n">
        <x:f>MAX(0,MIN(K314,Q314)-MAX(G314,M314))</x:f>
        <x:v>0</x:v>
      </x:c>
      <x:c r="T314" s="25" t="n">
        <x:f>R314*S314</x:f>
        <x:v>0</x:v>
      </x:c>
      <x:c r="U314" s="24" t="str">
        <x:f>IF(T314&gt;0,"ERREUR chevauchement","OK aucun chevauchement")</x:f>
        <x:v>OK aucun chevauchement</x:v>
      </x:c>
      <x:c r="V314" s="24" t="str">
        <x:v>OK aucun chevauchement</x:v>
      </x:c>
      <x:c r="W314" s="24" t="str">
        <x:v>Si ERREUR : déplacer/redimensionner l’objet B ou créer un bookmark/masquage</x:v>
      </x:c>
    </x:row>
    <x:row r="315">
      <x:c r="A315" s="24" t="str">
        <x:v>Réseau MIA Tableau</x:v>
      </x:c>
      <x:c r="B315" s="24" t="str">
        <x:v>G03_KPI_Row</x:v>
      </x:c>
      <x:c r="C315" s="24" t="str">
        <x:v>KPI_Card_04</x:v>
      </x:c>
      <x:c r="D315" s="24" t="str">
        <x:v>G05_Right_Analytics</x:v>
      </x:c>
      <x:c r="E315" s="24" t="str">
        <x:v>Donut_CSP</x:v>
      </x:c>
      <x:c r="F315" s="25" t="n">
        <x:v>929</x:v>
      </x:c>
      <x:c r="G315" s="25" t="n">
        <x:v>330</x:v>
      </x:c>
      <x:c r="H315" s="25" t="n">
        <x:v>287</x:v>
      </x:c>
      <x:c r="I315" s="25" t="n">
        <x:v>180</x:v>
      </x:c>
      <x:c r="J315" s="25" t="n">
        <x:f>F315+H315</x:f>
        <x:v>1216</x:v>
      </x:c>
      <x:c r="K315" s="25" t="n">
        <x:f>G315+I315</x:f>
        <x:v>510</x:v>
      </x:c>
      <x:c r="L315" s="25" t="n">
        <x:v>866</x:v>
      </x:c>
      <x:c r="M315" s="25" t="n">
        <x:v>535</x:v>
      </x:c>
      <x:c r="N315" s="25" t="n">
        <x:v>316</x:v>
      </x:c>
      <x:c r="O315" s="25" t="n">
        <x:v>300</x:v>
      </x:c>
      <x:c r="P315" s="25" t="n">
        <x:f>L315+N315</x:f>
        <x:v>1182</x:v>
      </x:c>
      <x:c r="Q315" s="25" t="n">
        <x:f>M315+O315</x:f>
        <x:v>835</x:v>
      </x:c>
      <x:c r="R315" s="25" t="n">
        <x:f>MAX(0,MIN(J315,P315)-MAX(F315,L315))</x:f>
        <x:v>253</x:v>
      </x:c>
      <x:c r="S315" s="25" t="n">
        <x:f>MAX(0,MIN(K315,Q315)-MAX(G315,M315))</x:f>
        <x:v>0</x:v>
      </x:c>
      <x:c r="T315" s="25" t="n">
        <x:f>R315*S315</x:f>
        <x:v>0</x:v>
      </x:c>
      <x:c r="U315" s="24" t="str">
        <x:f>IF(T315&gt;0,"ERREUR chevauchement","OK aucun chevauchement")</x:f>
        <x:v>OK aucun chevauchement</x:v>
      </x:c>
      <x:c r="V315" s="24" t="str">
        <x:v>OK aucun chevauchement</x:v>
      </x:c>
      <x:c r="W315" s="24" t="str">
        <x:v>Si ERREUR : déplacer/redimensionner l’objet B ou créer un bookmark/masquage</x:v>
      </x:c>
    </x:row>
    <x:row r="316">
      <x:c r="A316" s="24" t="str">
        <x:v>Réseau MIA Tableau</x:v>
      </x:c>
      <x:c r="B316" s="24" t="str">
        <x:v>G03_KPI_Row</x:v>
      </x:c>
      <x:c r="C316" s="24" t="str">
        <x:v>KPI_Card_04</x:v>
      </x:c>
      <x:c r="D316" s="24" t="str">
        <x:v>G05_Right_Analytics</x:v>
      </x:c>
      <x:c r="E316" s="24" t="str">
        <x:v>Donut_MIA</x:v>
      </x:c>
      <x:c r="F316" s="25" t="n">
        <x:v>929</x:v>
      </x:c>
      <x:c r="G316" s="25" t="n">
        <x:v>330</x:v>
      </x:c>
      <x:c r="H316" s="25" t="n">
        <x:v>287</x:v>
      </x:c>
      <x:c r="I316" s="25" t="n">
        <x:v>180</x:v>
      </x:c>
      <x:c r="J316" s="25" t="n">
        <x:f>F316+H316</x:f>
        <x:v>1216</x:v>
      </x:c>
      <x:c r="K316" s="25" t="n">
        <x:f>G316+I316</x:f>
        <x:v>510</x:v>
      </x:c>
      <x:c r="L316" s="25" t="n">
        <x:v>1198</x:v>
      </x:c>
      <x:c r="M316" s="25" t="n">
        <x:v>535</x:v>
      </x:c>
      <x:c r="N316" s="25" t="n">
        <x:v>322</x:v>
      </x:c>
      <x:c r="O316" s="25" t="n">
        <x:v>300</x:v>
      </x:c>
      <x:c r="P316" s="25" t="n">
        <x:f>L316+N316</x:f>
        <x:v>1520</x:v>
      </x:c>
      <x:c r="Q316" s="25" t="n">
        <x:f>M316+O316</x:f>
        <x:v>835</x:v>
      </x:c>
      <x:c r="R316" s="25" t="n">
        <x:f>MAX(0,MIN(J316,P316)-MAX(F316,L316))</x:f>
        <x:v>18</x:v>
      </x:c>
      <x:c r="S316" s="25" t="n">
        <x:f>MAX(0,MIN(K316,Q316)-MAX(G316,M316))</x:f>
        <x:v>0</x:v>
      </x:c>
      <x:c r="T316" s="25" t="n">
        <x:f>R316*S316</x:f>
        <x:v>0</x:v>
      </x:c>
      <x:c r="U316" s="24" t="str">
        <x:f>IF(T316&gt;0,"ERREUR chevauchement","OK aucun chevauchement")</x:f>
        <x:v>OK aucun chevauchement</x:v>
      </x:c>
      <x:c r="V316" s="24" t="str">
        <x:v>OK aucun chevauchement</x:v>
      </x:c>
      <x:c r="W316" s="24" t="str">
        <x:v>Si ERREUR : déplacer/redimensionner l’objet B ou créer un bookmark/masquage</x:v>
      </x:c>
    </x:row>
    <x:row r="317">
      <x:c r="A317" s="24" t="str">
        <x:v>Réseau MIA Tableau</x:v>
      </x:c>
      <x:c r="B317" s="24" t="str">
        <x:v>G03_KPI_Row</x:v>
      </x:c>
      <x:c r="C317" s="24" t="str">
        <x:v>KPI_Card_04</x:v>
      </x:c>
      <x:c r="D317" s="24" t="str">
        <x:v>G05_Right_Analytics</x:v>
      </x:c>
      <x:c r="E317" s="24" t="str">
        <x:v>Tableau_Compact</x:v>
      </x:c>
      <x:c r="F317" s="25" t="n">
        <x:v>929</x:v>
      </x:c>
      <x:c r="G317" s="25" t="n">
        <x:v>330</x:v>
      </x:c>
      <x:c r="H317" s="25" t="n">
        <x:v>287</x:v>
      </x:c>
      <x:c r="I317" s="25" t="n">
        <x:v>180</x:v>
      </x:c>
      <x:c r="J317" s="25" t="n">
        <x:f>F317+H317</x:f>
        <x:v>1216</x:v>
      </x:c>
      <x:c r="K317" s="25" t="n">
        <x:f>G317+I317</x:f>
        <x:v>510</x:v>
      </x:c>
      <x:c r="L317" s="25" t="n">
        <x:v>866</x:v>
      </x:c>
      <x:c r="M317" s="25" t="n">
        <x:v>851</x:v>
      </x:c>
      <x:c r="N317" s="25" t="n">
        <x:v>654</x:v>
      </x:c>
      <x:c r="O317" s="25" t="n">
        <x:v>230</x:v>
      </x:c>
      <x:c r="P317" s="25" t="n">
        <x:f>L317+N317</x:f>
        <x:v>1520</x:v>
      </x:c>
      <x:c r="Q317" s="25" t="n">
        <x:f>M317+O317</x:f>
        <x:v>1081</x:v>
      </x:c>
      <x:c r="R317" s="25" t="n">
        <x:f>MAX(0,MIN(J317,P317)-MAX(F317,L317))</x:f>
        <x:v>287</x:v>
      </x:c>
      <x:c r="S317" s="25" t="n">
        <x:f>MAX(0,MIN(K317,Q317)-MAX(G317,M317))</x:f>
        <x:v>0</x:v>
      </x:c>
      <x:c r="T317" s="25" t="n">
        <x:f>R317*S317</x:f>
        <x:v>0</x:v>
      </x:c>
      <x:c r="U317" s="24" t="str">
        <x:f>IF(T317&gt;0,"ERREUR chevauchement","OK aucun chevauchement")</x:f>
        <x:v>OK aucun chevauchement</x:v>
      </x:c>
      <x:c r="V317" s="24" t="str">
        <x:v>OK aucun chevauchement</x:v>
      </x:c>
      <x:c r="W317" s="24" t="str">
        <x:v>Si ERREUR : déplacer/redimensionner l’objet B ou créer un bookmark/masquage</x:v>
      </x:c>
    </x:row>
    <x:row r="318">
      <x:c r="A318" s="24" t="str">
        <x:v>Réseau MIA Tableau</x:v>
      </x:c>
      <x:c r="B318" s="24" t="str">
        <x:v>G03_KPI_Row</x:v>
      </x:c>
      <x:c r="C318" s="24" t="str">
        <x:v>KPI_Card_04</x:v>
      </x:c>
      <x:c r="D318" s="24" t="str">
        <x:v>G05_Right_Analytics</x:v>
      </x:c>
      <x:c r="E318" s="24" t="str">
        <x:v>Bar_MIA_Productifs</x:v>
      </x:c>
      <x:c r="F318" s="25" t="n">
        <x:v>929</x:v>
      </x:c>
      <x:c r="G318" s="25" t="n">
        <x:v>330</x:v>
      </x:c>
      <x:c r="H318" s="25" t="n">
        <x:v>287</x:v>
      </x:c>
      <x:c r="I318" s="25" t="n">
        <x:v>180</x:v>
      </x:c>
      <x:c r="J318" s="25" t="n">
        <x:f>F318+H318</x:f>
        <x:v>1216</x:v>
      </x:c>
      <x:c r="K318" s="25" t="n">
        <x:f>G318+I318</x:f>
        <x:v>510</x:v>
      </x:c>
      <x:c r="L318" s="25" t="n">
        <x:v>866</x:v>
      </x:c>
      <x:c r="M318" s="25" t="n">
        <x:v>1097</x:v>
      </x:c>
      <x:c r="N318" s="25" t="n">
        <x:v>654</x:v>
      </x:c>
      <x:c r="O318" s="25" t="n">
        <x:v>300</x:v>
      </x:c>
      <x:c r="P318" s="25" t="n">
        <x:f>L318+N318</x:f>
        <x:v>1520</x:v>
      </x:c>
      <x:c r="Q318" s="25" t="n">
        <x:f>M318+O318</x:f>
        <x:v>1397</x:v>
      </x:c>
      <x:c r="R318" s="25" t="n">
        <x:f>MAX(0,MIN(J318,P318)-MAX(F318,L318))</x:f>
        <x:v>287</x:v>
      </x:c>
      <x:c r="S318" s="25" t="n">
        <x:f>MAX(0,MIN(K318,Q318)-MAX(G318,M318))</x:f>
        <x:v>0</x:v>
      </x:c>
      <x:c r="T318" s="25" t="n">
        <x:f>R318*S318</x:f>
        <x:v>0</x:v>
      </x:c>
      <x:c r="U318" s="24" t="str">
        <x:f>IF(T318&gt;0,"ERREUR chevauchement","OK aucun chevauchement")</x:f>
        <x:v>OK aucun chevauchement</x:v>
      </x:c>
      <x:c r="V318" s="24" t="str">
        <x:v>OK aucun chevauchement</x:v>
      </x:c>
      <x:c r="W318" s="24" t="str">
        <x:v>Si ERREUR : déplacer/redimensionner l’objet B ou créer un bookmark/masquage</x:v>
      </x:c>
    </x:row>
    <x:row r="319">
      <x:c r="A319" s="24" t="str">
        <x:v>Réseau MIA Tableau</x:v>
      </x:c>
      <x:c r="B319" s="24" t="str">
        <x:v>G03_KPI_Row</x:v>
      </x:c>
      <x:c r="C319" s="24" t="str">
        <x:v>KPI_Card_04</x:v>
      </x:c>
      <x:c r="D319" s="24" t="str">
        <x:v>G06_Table_Detail</x:v>
      </x:c>
      <x:c r="E319" s="24" t="str">
        <x:v>Tableau_Reseau_Detaille</x:v>
      </x:c>
      <x:c r="F319" s="25" t="n">
        <x:v>929</x:v>
      </x:c>
      <x:c r="G319" s="25" t="n">
        <x:v>330</x:v>
      </x:c>
      <x:c r="H319" s="25" t="n">
        <x:v>287</x:v>
      </x:c>
      <x:c r="I319" s="25" t="n">
        <x:v>180</x:v>
      </x:c>
      <x:c r="J319" s="25" t="n">
        <x:f>F319+H319</x:f>
        <x:v>1216</x:v>
      </x:c>
      <x:c r="K319" s="25" t="n">
        <x:f>G319+I319</x:f>
        <x:v>510</x:v>
      </x:c>
      <x:c r="L319" s="25" t="n">
        <x:v>20</x:v>
      </x:c>
      <x:c r="M319" s="25" t="n">
        <x:v>1417</x:v>
      </x:c>
      <x:c r="N319" s="25" t="n">
        <x:v>1500</x:v>
      </x:c>
      <x:c r="O319" s="25" t="n">
        <x:v>300</x:v>
      </x:c>
      <x:c r="P319" s="25" t="n">
        <x:f>L319+N319</x:f>
        <x:v>1520</x:v>
      </x:c>
      <x:c r="Q319" s="25" t="n">
        <x:f>M319+O319</x:f>
        <x:v>1717</x:v>
      </x:c>
      <x:c r="R319" s="25" t="n">
        <x:f>MAX(0,MIN(J319,P319)-MAX(F319,L319))</x:f>
        <x:v>287</x:v>
      </x:c>
      <x:c r="S319" s="25" t="n">
        <x:f>MAX(0,MIN(K319,Q319)-MAX(G319,M319))</x:f>
        <x:v>0</x:v>
      </x:c>
      <x:c r="T319" s="25" t="n">
        <x:f>R319*S319</x:f>
        <x:v>0</x:v>
      </x:c>
      <x:c r="U319" s="24" t="str">
        <x:f>IF(T319&gt;0,"ERREUR chevauchement","OK aucun chevauchement")</x:f>
        <x:v>OK aucun chevauchement</x:v>
      </x:c>
      <x:c r="V319" s="24" t="str">
        <x:v>OK aucun chevauchement</x:v>
      </x:c>
      <x:c r="W319" s="24" t="str">
        <x:v>Si ERREUR : déplacer/redimensionner l’objet B ou créer un bookmark/masquage</x:v>
      </x:c>
    </x:row>
    <x:row r="320">
      <x:c r="A320" s="24" t="str">
        <x:v>Réseau MIA Tableau</x:v>
      </x:c>
      <x:c r="B320" s="24" t="str">
        <x:v>G03_KPI_Row</x:v>
      </x:c>
      <x:c r="C320" s="24" t="str">
        <x:v>KPI_Card_05</x:v>
      </x:c>
      <x:c r="D320" s="24" t="str">
        <x:v>G04_Map_Main</x:v>
      </x:c>
      <x:c r="E320" s="24" t="str">
        <x:v>Map_Carte_France</x:v>
      </x:c>
      <x:c r="F320" s="25" t="n">
        <x:v>1232</x:v>
      </x:c>
      <x:c r="G320" s="25" t="n">
        <x:v>330</x:v>
      </x:c>
      <x:c r="H320" s="25" t="n">
        <x:v>287</x:v>
      </x:c>
      <x:c r="I320" s="25" t="n">
        <x:v>180</x:v>
      </x:c>
      <x:c r="J320" s="25" t="n">
        <x:f>F320+H320</x:f>
        <x:v>1519</x:v>
      </x:c>
      <x:c r="K320" s="25" t="n">
        <x:f>G320+I320</x:f>
        <x:v>510</x:v>
      </x:c>
      <x:c r="L320" s="25" t="n">
        <x:v>20</x:v>
      </x:c>
      <x:c r="M320" s="25" t="n">
        <x:v>535</x:v>
      </x:c>
      <x:c r="N320" s="25" t="n">
        <x:v>830</x:v>
      </x:c>
      <x:c r="O320" s="25" t="n">
        <x:v>560</x:v>
      </x:c>
      <x:c r="P320" s="25" t="n">
        <x:f>L320+N320</x:f>
        <x:v>850</x:v>
      </x:c>
      <x:c r="Q320" s="25" t="n">
        <x:f>M320+O320</x:f>
        <x:v>1095</x:v>
      </x:c>
      <x:c r="R320" s="25" t="n">
        <x:f>MAX(0,MIN(J320,P320)-MAX(F320,L320))</x:f>
        <x:v>0</x:v>
      </x:c>
      <x:c r="S320" s="25" t="n">
        <x:f>MAX(0,MIN(K320,Q320)-MAX(G320,M320))</x:f>
        <x:v>0</x:v>
      </x:c>
      <x:c r="T320" s="25" t="n">
        <x:f>R320*S320</x:f>
        <x:v>0</x:v>
      </x:c>
      <x:c r="U320" s="24" t="str">
        <x:f>IF(T320&gt;0,"ERREUR chevauchement","OK aucun chevauchement")</x:f>
        <x:v>OK aucun chevauchement</x:v>
      </x:c>
      <x:c r="V320" s="24" t="str">
        <x:v>OK aucun chevauchement</x:v>
      </x:c>
      <x:c r="W320" s="24" t="str">
        <x:v>Si ERREUR : déplacer/redimensionner l’objet B ou créer un bookmark/masquage</x:v>
      </x:c>
    </x:row>
    <x:row r="321">
      <x:c r="A321" s="24" t="str">
        <x:v>Réseau MIA Tableau</x:v>
      </x:c>
      <x:c r="B321" s="24" t="str">
        <x:v>G03_KPI_Row</x:v>
      </x:c>
      <x:c r="C321" s="24" t="str">
        <x:v>KPI_Card_05</x:v>
      </x:c>
      <x:c r="D321" s="24" t="str">
        <x:v>G05_Right_Analytics</x:v>
      </x:c>
      <x:c r="E321" s="24" t="str">
        <x:v>Donut_CSP</x:v>
      </x:c>
      <x:c r="F321" s="25" t="n">
        <x:v>1232</x:v>
      </x:c>
      <x:c r="G321" s="25" t="n">
        <x:v>330</x:v>
      </x:c>
      <x:c r="H321" s="25" t="n">
        <x:v>287</x:v>
      </x:c>
      <x:c r="I321" s="25" t="n">
        <x:v>180</x:v>
      </x:c>
      <x:c r="J321" s="25" t="n">
        <x:f>F321+H321</x:f>
        <x:v>1519</x:v>
      </x:c>
      <x:c r="K321" s="25" t="n">
        <x:f>G321+I321</x:f>
        <x:v>510</x:v>
      </x:c>
      <x:c r="L321" s="25" t="n">
        <x:v>866</x:v>
      </x:c>
      <x:c r="M321" s="25" t="n">
        <x:v>535</x:v>
      </x:c>
      <x:c r="N321" s="25" t="n">
        <x:v>316</x:v>
      </x:c>
      <x:c r="O321" s="25" t="n">
        <x:v>300</x:v>
      </x:c>
      <x:c r="P321" s="25" t="n">
        <x:f>L321+N321</x:f>
        <x:v>1182</x:v>
      </x:c>
      <x:c r="Q321" s="25" t="n">
        <x:f>M321+O321</x:f>
        <x:v>835</x:v>
      </x:c>
      <x:c r="R321" s="25" t="n">
        <x:f>MAX(0,MIN(J321,P321)-MAX(F321,L321))</x:f>
        <x:v>0</x:v>
      </x:c>
      <x:c r="S321" s="25" t="n">
        <x:f>MAX(0,MIN(K321,Q321)-MAX(G321,M321))</x:f>
        <x:v>0</x:v>
      </x:c>
      <x:c r="T321" s="25" t="n">
        <x:f>R321*S321</x:f>
        <x:v>0</x:v>
      </x:c>
      <x:c r="U321" s="24" t="str">
        <x:f>IF(T321&gt;0,"ERREUR chevauchement","OK aucun chevauchement")</x:f>
        <x:v>OK aucun chevauchement</x:v>
      </x:c>
      <x:c r="V321" s="24" t="str">
        <x:v>OK aucun chevauchement</x:v>
      </x:c>
      <x:c r="W321" s="24" t="str">
        <x:v>Si ERREUR : déplacer/redimensionner l’objet B ou créer un bookmark/masquage</x:v>
      </x:c>
    </x:row>
    <x:row r="322">
      <x:c r="A322" s="24" t="str">
        <x:v>Réseau MIA Tableau</x:v>
      </x:c>
      <x:c r="B322" s="24" t="str">
        <x:v>G03_KPI_Row</x:v>
      </x:c>
      <x:c r="C322" s="24" t="str">
        <x:v>KPI_Card_05</x:v>
      </x:c>
      <x:c r="D322" s="24" t="str">
        <x:v>G05_Right_Analytics</x:v>
      </x:c>
      <x:c r="E322" s="24" t="str">
        <x:v>Donut_MIA</x:v>
      </x:c>
      <x:c r="F322" s="25" t="n">
        <x:v>1232</x:v>
      </x:c>
      <x:c r="G322" s="25" t="n">
        <x:v>330</x:v>
      </x:c>
      <x:c r="H322" s="25" t="n">
        <x:v>287</x:v>
      </x:c>
      <x:c r="I322" s="25" t="n">
        <x:v>180</x:v>
      </x:c>
      <x:c r="J322" s="25" t="n">
        <x:f>F322+H322</x:f>
        <x:v>1519</x:v>
      </x:c>
      <x:c r="K322" s="25" t="n">
        <x:f>G322+I322</x:f>
        <x:v>510</x:v>
      </x:c>
      <x:c r="L322" s="25" t="n">
        <x:v>1198</x:v>
      </x:c>
      <x:c r="M322" s="25" t="n">
        <x:v>535</x:v>
      </x:c>
      <x:c r="N322" s="25" t="n">
        <x:v>322</x:v>
      </x:c>
      <x:c r="O322" s="25" t="n">
        <x:v>300</x:v>
      </x:c>
      <x:c r="P322" s="25" t="n">
        <x:f>L322+N322</x:f>
        <x:v>1520</x:v>
      </x:c>
      <x:c r="Q322" s="25" t="n">
        <x:f>M322+O322</x:f>
        <x:v>835</x:v>
      </x:c>
      <x:c r="R322" s="25" t="n">
        <x:f>MAX(0,MIN(J322,P322)-MAX(F322,L322))</x:f>
        <x:v>287</x:v>
      </x:c>
      <x:c r="S322" s="25" t="n">
        <x:f>MAX(0,MIN(K322,Q322)-MAX(G322,M322))</x:f>
        <x:v>0</x:v>
      </x:c>
      <x:c r="T322" s="25" t="n">
        <x:f>R322*S322</x:f>
        <x:v>0</x:v>
      </x:c>
      <x:c r="U322" s="24" t="str">
        <x:f>IF(T322&gt;0,"ERREUR chevauchement","OK aucun chevauchement")</x:f>
        <x:v>OK aucun chevauchement</x:v>
      </x:c>
      <x:c r="V322" s="24" t="str">
        <x:v>OK aucun chevauchement</x:v>
      </x:c>
      <x:c r="W322" s="24" t="str">
        <x:v>Si ERREUR : déplacer/redimensionner l’objet B ou créer un bookmark/masquage</x:v>
      </x:c>
    </x:row>
    <x:row r="323">
      <x:c r="A323" s="24" t="str">
        <x:v>Réseau MIA Tableau</x:v>
      </x:c>
      <x:c r="B323" s="24" t="str">
        <x:v>G03_KPI_Row</x:v>
      </x:c>
      <x:c r="C323" s="24" t="str">
        <x:v>KPI_Card_05</x:v>
      </x:c>
      <x:c r="D323" s="24" t="str">
        <x:v>G05_Right_Analytics</x:v>
      </x:c>
      <x:c r="E323" s="24" t="str">
        <x:v>Tableau_Compact</x:v>
      </x:c>
      <x:c r="F323" s="25" t="n">
        <x:v>1232</x:v>
      </x:c>
      <x:c r="G323" s="25" t="n">
        <x:v>330</x:v>
      </x:c>
      <x:c r="H323" s="25" t="n">
        <x:v>287</x:v>
      </x:c>
      <x:c r="I323" s="25" t="n">
        <x:v>180</x:v>
      </x:c>
      <x:c r="J323" s="25" t="n">
        <x:f>F323+H323</x:f>
        <x:v>1519</x:v>
      </x:c>
      <x:c r="K323" s="25" t="n">
        <x:f>G323+I323</x:f>
        <x:v>510</x:v>
      </x:c>
      <x:c r="L323" s="25" t="n">
        <x:v>866</x:v>
      </x:c>
      <x:c r="M323" s="25" t="n">
        <x:v>851</x:v>
      </x:c>
      <x:c r="N323" s="25" t="n">
        <x:v>654</x:v>
      </x:c>
      <x:c r="O323" s="25" t="n">
        <x:v>230</x:v>
      </x:c>
      <x:c r="P323" s="25" t="n">
        <x:f>L323+N323</x:f>
        <x:v>1520</x:v>
      </x:c>
      <x:c r="Q323" s="25" t="n">
        <x:f>M323+O323</x:f>
        <x:v>1081</x:v>
      </x:c>
      <x:c r="R323" s="25" t="n">
        <x:f>MAX(0,MIN(J323,P323)-MAX(F323,L323))</x:f>
        <x:v>287</x:v>
      </x:c>
      <x:c r="S323" s="25" t="n">
        <x:f>MAX(0,MIN(K323,Q323)-MAX(G323,M323))</x:f>
        <x:v>0</x:v>
      </x:c>
      <x:c r="T323" s="25" t="n">
        <x:f>R323*S323</x:f>
        <x:v>0</x:v>
      </x:c>
      <x:c r="U323" s="24" t="str">
        <x:f>IF(T323&gt;0,"ERREUR chevauchement","OK aucun chevauchement")</x:f>
        <x:v>OK aucun chevauchement</x:v>
      </x:c>
      <x:c r="V323" s="24" t="str">
        <x:v>OK aucun chevauchement</x:v>
      </x:c>
      <x:c r="W323" s="24" t="str">
        <x:v>Si ERREUR : déplacer/redimensionner l’objet B ou créer un bookmark/masquage</x:v>
      </x:c>
    </x:row>
    <x:row r="324">
      <x:c r="A324" s="24" t="str">
        <x:v>Réseau MIA Tableau</x:v>
      </x:c>
      <x:c r="B324" s="24" t="str">
        <x:v>G03_KPI_Row</x:v>
      </x:c>
      <x:c r="C324" s="24" t="str">
        <x:v>KPI_Card_05</x:v>
      </x:c>
      <x:c r="D324" s="24" t="str">
        <x:v>G05_Right_Analytics</x:v>
      </x:c>
      <x:c r="E324" s="24" t="str">
        <x:v>Bar_MIA_Productifs</x:v>
      </x:c>
      <x:c r="F324" s="25" t="n">
        <x:v>1232</x:v>
      </x:c>
      <x:c r="G324" s="25" t="n">
        <x:v>330</x:v>
      </x:c>
      <x:c r="H324" s="25" t="n">
        <x:v>287</x:v>
      </x:c>
      <x:c r="I324" s="25" t="n">
        <x:v>180</x:v>
      </x:c>
      <x:c r="J324" s="25" t="n">
        <x:f>F324+H324</x:f>
        <x:v>1519</x:v>
      </x:c>
      <x:c r="K324" s="25" t="n">
        <x:f>G324+I324</x:f>
        <x:v>510</x:v>
      </x:c>
      <x:c r="L324" s="25" t="n">
        <x:v>866</x:v>
      </x:c>
      <x:c r="M324" s="25" t="n">
        <x:v>1097</x:v>
      </x:c>
      <x:c r="N324" s="25" t="n">
        <x:v>654</x:v>
      </x:c>
      <x:c r="O324" s="25" t="n">
        <x:v>300</x:v>
      </x:c>
      <x:c r="P324" s="25" t="n">
        <x:f>L324+N324</x:f>
        <x:v>1520</x:v>
      </x:c>
      <x:c r="Q324" s="25" t="n">
        <x:f>M324+O324</x:f>
        <x:v>1397</x:v>
      </x:c>
      <x:c r="R324" s="25" t="n">
        <x:f>MAX(0,MIN(J324,P324)-MAX(F324,L324))</x:f>
        <x:v>287</x:v>
      </x:c>
      <x:c r="S324" s="25" t="n">
        <x:f>MAX(0,MIN(K324,Q324)-MAX(G324,M324))</x:f>
        <x:v>0</x:v>
      </x:c>
      <x:c r="T324" s="25" t="n">
        <x:f>R324*S324</x:f>
        <x:v>0</x:v>
      </x:c>
      <x:c r="U324" s="24" t="str">
        <x:f>IF(T324&gt;0,"ERREUR chevauchement","OK aucun chevauchement")</x:f>
        <x:v>OK aucun chevauchement</x:v>
      </x:c>
      <x:c r="V324" s="24" t="str">
        <x:v>OK aucun chevauchement</x:v>
      </x:c>
      <x:c r="W324" s="24" t="str">
        <x:v>Si ERREUR : déplacer/redimensionner l’objet B ou créer un bookmark/masquage</x:v>
      </x:c>
    </x:row>
    <x:row r="325">
      <x:c r="A325" s="24" t="str">
        <x:v>Réseau MIA Tableau</x:v>
      </x:c>
      <x:c r="B325" s="24" t="str">
        <x:v>G03_KPI_Row</x:v>
      </x:c>
      <x:c r="C325" s="24" t="str">
        <x:v>KPI_Card_05</x:v>
      </x:c>
      <x:c r="D325" s="24" t="str">
        <x:v>G06_Table_Detail</x:v>
      </x:c>
      <x:c r="E325" s="24" t="str">
        <x:v>Tableau_Reseau_Detaille</x:v>
      </x:c>
      <x:c r="F325" s="25" t="n">
        <x:v>1232</x:v>
      </x:c>
      <x:c r="G325" s="25" t="n">
        <x:v>330</x:v>
      </x:c>
      <x:c r="H325" s="25" t="n">
        <x:v>287</x:v>
      </x:c>
      <x:c r="I325" s="25" t="n">
        <x:v>180</x:v>
      </x:c>
      <x:c r="J325" s="25" t="n">
        <x:f>F325+H325</x:f>
        <x:v>1519</x:v>
      </x:c>
      <x:c r="K325" s="25" t="n">
        <x:f>G325+I325</x:f>
        <x:v>510</x:v>
      </x:c>
      <x:c r="L325" s="25" t="n">
        <x:v>20</x:v>
      </x:c>
      <x:c r="M325" s="25" t="n">
        <x:v>1417</x:v>
      </x:c>
      <x:c r="N325" s="25" t="n">
        <x:v>1500</x:v>
      </x:c>
      <x:c r="O325" s="25" t="n">
        <x:v>300</x:v>
      </x:c>
      <x:c r="P325" s="25" t="n">
        <x:f>L325+N325</x:f>
        <x:v>1520</x:v>
      </x:c>
      <x:c r="Q325" s="25" t="n">
        <x:f>M325+O325</x:f>
        <x:v>1717</x:v>
      </x:c>
      <x:c r="R325" s="25" t="n">
        <x:f>MAX(0,MIN(J325,P325)-MAX(F325,L325))</x:f>
        <x:v>287</x:v>
      </x:c>
      <x:c r="S325" s="25" t="n">
        <x:f>MAX(0,MIN(K325,Q325)-MAX(G325,M325))</x:f>
        <x:v>0</x:v>
      </x:c>
      <x:c r="T325" s="25" t="n">
        <x:f>R325*S325</x:f>
        <x:v>0</x:v>
      </x:c>
      <x:c r="U325" s="24" t="str">
        <x:f>IF(T325&gt;0,"ERREUR chevauchement","OK aucun chevauchement")</x:f>
        <x:v>OK aucun chevauchement</x:v>
      </x:c>
      <x:c r="V325" s="24" t="str">
        <x:v>OK aucun chevauchement</x:v>
      </x:c>
      <x:c r="W325" s="24" t="str">
        <x:v>Si ERREUR : déplacer/redimensionner l’objet B ou créer un bookmark/masquage</x:v>
      </x:c>
    </x:row>
    <x:row r="326">
      <x:c r="A326" s="24" t="str">
        <x:v>Rendez-vous</x:v>
      </x:c>
      <x:c r="B326" s="24" t="str">
        <x:v>G00_Header_Global</x:v>
      </x:c>
      <x:c r="C326" s="24" t="str">
        <x:v>Header_Global</x:v>
      </x:c>
      <x:c r="D326" s="24" t="str">
        <x:v>G01_Title_Zone</x:v>
      </x:c>
      <x:c r="E326" s="24" t="str">
        <x:v>Title_Zone</x:v>
      </x:c>
      <x:c r="F326" s="25" t="n">
        <x:v>0</x:v>
      </x:c>
      <x:c r="G326" s="25" t="n">
        <x:v>0</x:v>
      </x:c>
      <x:c r="H326" s="25" t="n">
        <x:v>1540</x:v>
      </x:c>
      <x:c r="I326" s="25" t="n">
        <x:v>88</x:v>
      </x:c>
      <x:c r="J326" s="25" t="n">
        <x:f>F326+H326</x:f>
        <x:v>1540</x:v>
      </x:c>
      <x:c r="K326" s="25" t="n">
        <x:f>G326+I326</x:f>
        <x:v>88</x:v>
      </x:c>
      <x:c r="L326" s="25" t="n">
        <x:v>20</x:v>
      </x:c>
      <x:c r="M326" s="25" t="n">
        <x:v>110</x:v>
      </x:c>
      <x:c r="N326" s="25" t="n">
        <x:v>1500</x:v>
      </x:c>
      <x:c r="O326" s="25" t="n">
        <x:v>132</x:v>
      </x:c>
      <x:c r="P326" s="25" t="n">
        <x:f>L326+N326</x:f>
        <x:v>1520</x:v>
      </x:c>
      <x:c r="Q326" s="25" t="n">
        <x:f>M326+O326</x:f>
        <x:v>242</x:v>
      </x:c>
      <x:c r="R326" s="25" t="n">
        <x:f>MAX(0,MIN(J326,P326)-MAX(F326,L326))</x:f>
        <x:v>1500</x:v>
      </x:c>
      <x:c r="S326" s="25" t="n">
        <x:f>MAX(0,MIN(K326,Q326)-MAX(G326,M326))</x:f>
        <x:v>0</x:v>
      </x:c>
      <x:c r="T326" s="25" t="n">
        <x:f>R326*S326</x:f>
        <x:v>0</x:v>
      </x:c>
      <x:c r="U326" s="24" t="str">
        <x:f>IF(T326&gt;0,"ERREUR chevauchement","OK aucun chevauchement")</x:f>
        <x:v>OK aucun chevauchement</x:v>
      </x:c>
      <x:c r="V326" s="24" t="str">
        <x:v>OK aucun chevauchement</x:v>
      </x:c>
      <x:c r="W326" s="24" t="str">
        <x:v>Si ERREUR : déplacer/redimensionner l’objet B ou créer un bookmark/masquage</x:v>
      </x:c>
    </x:row>
    <x:row r="327">
      <x:c r="A327" s="24" t="str">
        <x:v>Rendez-vous</x:v>
      </x:c>
      <x:c r="B327" s="24" t="str">
        <x:v>G00_Header_Global</x:v>
      </x:c>
      <x:c r="C327" s="24" t="str">
        <x:v>Header_Global</x:v>
      </x:c>
      <x:c r="D327" s="24" t="str">
        <x:v>G02_Toolbar</x:v>
      </x:c>
      <x:c r="E327" s="24" t="str">
        <x:v>Toolbar_Slicers_FieldParams</x:v>
      </x:c>
      <x:c r="F327" s="25" t="n">
        <x:v>0</x:v>
      </x:c>
      <x:c r="G327" s="25" t="n">
        <x:v>0</x:v>
      </x:c>
      <x:c r="H327" s="25" t="n">
        <x:v>1540</x:v>
      </x:c>
      <x:c r="I327" s="25" t="n">
        <x:v>88</x:v>
      </x:c>
      <x:c r="J327" s="25" t="n">
        <x:f>F327+H327</x:f>
        <x:v>1540</x:v>
      </x:c>
      <x:c r="K327" s="25" t="n">
        <x:f>G327+I327</x:f>
        <x:v>88</x:v>
      </x:c>
      <x:c r="L327" s="25" t="n">
        <x:v>20</x:v>
      </x:c>
      <x:c r="M327" s="25" t="n">
        <x:v>260</x:v>
      </x:c>
      <x:c r="N327" s="25" t="n">
        <x:v>1500</x:v>
      </x:c>
      <x:c r="O327" s="25" t="n">
        <x:v>56</x:v>
      </x:c>
      <x:c r="P327" s="25" t="n">
        <x:f>L327+N327</x:f>
        <x:v>1520</x:v>
      </x:c>
      <x:c r="Q327" s="25" t="n">
        <x:f>M327+O327</x:f>
        <x:v>316</x:v>
      </x:c>
      <x:c r="R327" s="25" t="n">
        <x:f>MAX(0,MIN(J327,P327)-MAX(F327,L327))</x:f>
        <x:v>1500</x:v>
      </x:c>
      <x:c r="S327" s="25" t="n">
        <x:f>MAX(0,MIN(K327,Q327)-MAX(G327,M327))</x:f>
        <x:v>0</x:v>
      </x:c>
      <x:c r="T327" s="25" t="n">
        <x:f>R327*S327</x:f>
        <x:v>0</x:v>
      </x:c>
      <x:c r="U327" s="24" t="str">
        <x:f>IF(T327&gt;0,"ERREUR chevauchement","OK aucun chevauchement")</x:f>
        <x:v>OK aucun chevauchement</x:v>
      </x:c>
      <x:c r="V327" s="24" t="str">
        <x:v>OK aucun chevauchement</x:v>
      </x:c>
      <x:c r="W327" s="24" t="str">
        <x:v>Si ERREUR : déplacer/redimensionner l’objet B ou créer un bookmark/masquage</x:v>
      </x:c>
    </x:row>
    <x:row r="328">
      <x:c r="A328" s="24" t="str">
        <x:v>Rendez-vous</x:v>
      </x:c>
      <x:c r="B328" s="24" t="str">
        <x:v>G00_Header_Global</x:v>
      </x:c>
      <x:c r="C328" s="24" t="str">
        <x:v>Header_Global</x:v>
      </x:c>
      <x:c r="D328" s="24" t="str">
        <x:v>G03_KPI_Row</x:v>
      </x:c>
      <x:c r="E328" s="24" t="str">
        <x:v>KPI_Card_01</x:v>
      </x:c>
      <x:c r="F328" s="25" t="n">
        <x:v>0</x:v>
      </x:c>
      <x:c r="G328" s="25" t="n">
        <x:v>0</x:v>
      </x:c>
      <x:c r="H328" s="25" t="n">
        <x:v>1540</x:v>
      </x:c>
      <x:c r="I328" s="25" t="n">
        <x:v>88</x:v>
      </x:c>
      <x:c r="J328" s="25" t="n">
        <x:f>F328+H328</x:f>
        <x:v>1540</x:v>
      </x:c>
      <x:c r="K328" s="25" t="n">
        <x:f>G328+I328</x:f>
        <x:v>88</x:v>
      </x:c>
      <x:c r="L328" s="25" t="n">
        <x:v>20</x:v>
      </x:c>
      <x:c r="M328" s="25" t="n">
        <x:v>330</x:v>
      </x:c>
      <x:c r="N328" s="25" t="n">
        <x:v>287</x:v>
      </x:c>
      <x:c r="O328" s="25" t="n">
        <x:v>180</x:v>
      </x:c>
      <x:c r="P328" s="25" t="n">
        <x:f>L328+N328</x:f>
        <x:v>307</x:v>
      </x:c>
      <x:c r="Q328" s="25" t="n">
        <x:f>M328+O328</x:f>
        <x:v>510</x:v>
      </x:c>
      <x:c r="R328" s="25" t="n">
        <x:f>MAX(0,MIN(J328,P328)-MAX(F328,L328))</x:f>
        <x:v>287</x:v>
      </x:c>
      <x:c r="S328" s="25" t="n">
        <x:f>MAX(0,MIN(K328,Q328)-MAX(G328,M328))</x:f>
        <x:v>0</x:v>
      </x:c>
      <x:c r="T328" s="25" t="n">
        <x:f>R328*S328</x:f>
        <x:v>0</x:v>
      </x:c>
      <x:c r="U328" s="24" t="str">
        <x:f>IF(T328&gt;0,"ERREUR chevauchement","OK aucun chevauchement")</x:f>
        <x:v>OK aucun chevauchement</x:v>
      </x:c>
      <x:c r="V328" s="24" t="str">
        <x:v>OK aucun chevauchement</x:v>
      </x:c>
      <x:c r="W328" s="24" t="str">
        <x:v>Si ERREUR : déplacer/redimensionner l’objet B ou créer un bookmark/masquage</x:v>
      </x:c>
    </x:row>
    <x:row r="329">
      <x:c r="A329" s="24" t="str">
        <x:v>Rendez-vous</x:v>
      </x:c>
      <x:c r="B329" s="24" t="str">
        <x:v>G00_Header_Global</x:v>
      </x:c>
      <x:c r="C329" s="24" t="str">
        <x:v>Header_Global</x:v>
      </x:c>
      <x:c r="D329" s="24" t="str">
        <x:v>G03_KPI_Row</x:v>
      </x:c>
      <x:c r="E329" s="24" t="str">
        <x:v>KPI_Card_02</x:v>
      </x:c>
      <x:c r="F329" s="25" t="n">
        <x:v>0</x:v>
      </x:c>
      <x:c r="G329" s="25" t="n">
        <x:v>0</x:v>
      </x:c>
      <x:c r="H329" s="25" t="n">
        <x:v>1540</x:v>
      </x:c>
      <x:c r="I329" s="25" t="n">
        <x:v>88</x:v>
      </x:c>
      <x:c r="J329" s="25" t="n">
        <x:f>F329+H329</x:f>
        <x:v>1540</x:v>
      </x:c>
      <x:c r="K329" s="25" t="n">
        <x:f>G329+I329</x:f>
        <x:v>88</x:v>
      </x:c>
      <x:c r="L329" s="25" t="n">
        <x:v>323</x:v>
      </x:c>
      <x:c r="M329" s="25" t="n">
        <x:v>330</x:v>
      </x:c>
      <x:c r="N329" s="25" t="n">
        <x:v>287</x:v>
      </x:c>
      <x:c r="O329" s="25" t="n">
        <x:v>180</x:v>
      </x:c>
      <x:c r="P329" s="25" t="n">
        <x:f>L329+N329</x:f>
        <x:v>610</x:v>
      </x:c>
      <x:c r="Q329" s="25" t="n">
        <x:f>M329+O329</x:f>
        <x:v>510</x:v>
      </x:c>
      <x:c r="R329" s="25" t="n">
        <x:f>MAX(0,MIN(J329,P329)-MAX(F329,L329))</x:f>
        <x:v>287</x:v>
      </x:c>
      <x:c r="S329" s="25" t="n">
        <x:f>MAX(0,MIN(K329,Q329)-MAX(G329,M329))</x:f>
        <x:v>0</x:v>
      </x:c>
      <x:c r="T329" s="25" t="n">
        <x:f>R329*S329</x:f>
        <x:v>0</x:v>
      </x:c>
      <x:c r="U329" s="24" t="str">
        <x:f>IF(T329&gt;0,"ERREUR chevauchement","OK aucun chevauchement")</x:f>
        <x:v>OK aucun chevauchement</x:v>
      </x:c>
      <x:c r="V329" s="24" t="str">
        <x:v>OK aucun chevauchement</x:v>
      </x:c>
      <x:c r="W329" s="24" t="str">
        <x:v>Si ERREUR : déplacer/redimensionner l’objet B ou créer un bookmark/masquage</x:v>
      </x:c>
    </x:row>
    <x:row r="330">
      <x:c r="A330" s="24" t="str">
        <x:v>Rendez-vous</x:v>
      </x:c>
      <x:c r="B330" s="24" t="str">
        <x:v>G00_Header_Global</x:v>
      </x:c>
      <x:c r="C330" s="24" t="str">
        <x:v>Header_Global</x:v>
      </x:c>
      <x:c r="D330" s="24" t="str">
        <x:v>G03_KPI_Row</x:v>
      </x:c>
      <x:c r="E330" s="24" t="str">
        <x:v>KPI_Card_03</x:v>
      </x:c>
      <x:c r="F330" s="25" t="n">
        <x:v>0</x:v>
      </x:c>
      <x:c r="G330" s="25" t="n">
        <x:v>0</x:v>
      </x:c>
      <x:c r="H330" s="25" t="n">
        <x:v>1540</x:v>
      </x:c>
      <x:c r="I330" s="25" t="n">
        <x:v>88</x:v>
      </x:c>
      <x:c r="J330" s="25" t="n">
        <x:f>F330+H330</x:f>
        <x:v>1540</x:v>
      </x:c>
      <x:c r="K330" s="25" t="n">
        <x:f>G330+I330</x:f>
        <x:v>88</x:v>
      </x:c>
      <x:c r="L330" s="25" t="n">
        <x:v>626</x:v>
      </x:c>
      <x:c r="M330" s="25" t="n">
        <x:v>330</x:v>
      </x:c>
      <x:c r="N330" s="25" t="n">
        <x:v>287</x:v>
      </x:c>
      <x:c r="O330" s="25" t="n">
        <x:v>180</x:v>
      </x:c>
      <x:c r="P330" s="25" t="n">
        <x:f>L330+N330</x:f>
        <x:v>913</x:v>
      </x:c>
      <x:c r="Q330" s="25" t="n">
        <x:f>M330+O330</x:f>
        <x:v>510</x:v>
      </x:c>
      <x:c r="R330" s="25" t="n">
        <x:f>MAX(0,MIN(J330,P330)-MAX(F330,L330))</x:f>
        <x:v>287</x:v>
      </x:c>
      <x:c r="S330" s="25" t="n">
        <x:f>MAX(0,MIN(K330,Q330)-MAX(G330,M330))</x:f>
        <x:v>0</x:v>
      </x:c>
      <x:c r="T330" s="25" t="n">
        <x:f>R330*S330</x:f>
        <x:v>0</x:v>
      </x:c>
      <x:c r="U330" s="24" t="str">
        <x:f>IF(T330&gt;0,"ERREUR chevauchement","OK aucun chevauchement")</x:f>
        <x:v>OK aucun chevauchement</x:v>
      </x:c>
      <x:c r="V330" s="24" t="str">
        <x:v>OK aucun chevauchement</x:v>
      </x:c>
      <x:c r="W330" s="24" t="str">
        <x:v>Si ERREUR : déplacer/redimensionner l’objet B ou créer un bookmark/masquage</x:v>
      </x:c>
    </x:row>
    <x:row r="331">
      <x:c r="A331" s="24" t="str">
        <x:v>Rendez-vous</x:v>
      </x:c>
      <x:c r="B331" s="24" t="str">
        <x:v>G00_Header_Global</x:v>
      </x:c>
      <x:c r="C331" s="24" t="str">
        <x:v>Header_Global</x:v>
      </x:c>
      <x:c r="D331" s="24" t="str">
        <x:v>G03_KPI_Row</x:v>
      </x:c>
      <x:c r="E331" s="24" t="str">
        <x:v>KPI_Card_04</x:v>
      </x:c>
      <x:c r="F331" s="25" t="n">
        <x:v>0</x:v>
      </x:c>
      <x:c r="G331" s="25" t="n">
        <x:v>0</x:v>
      </x:c>
      <x:c r="H331" s="25" t="n">
        <x:v>1540</x:v>
      </x:c>
      <x:c r="I331" s="25" t="n">
        <x:v>88</x:v>
      </x:c>
      <x:c r="J331" s="25" t="n">
        <x:f>F331+H331</x:f>
        <x:v>1540</x:v>
      </x:c>
      <x:c r="K331" s="25" t="n">
        <x:f>G331+I331</x:f>
        <x:v>88</x:v>
      </x:c>
      <x:c r="L331" s="25" t="n">
        <x:v>929</x:v>
      </x:c>
      <x:c r="M331" s="25" t="n">
        <x:v>330</x:v>
      </x:c>
      <x:c r="N331" s="25" t="n">
        <x:v>287</x:v>
      </x:c>
      <x:c r="O331" s="25" t="n">
        <x:v>180</x:v>
      </x:c>
      <x:c r="P331" s="25" t="n">
        <x:f>L331+N331</x:f>
        <x:v>1216</x:v>
      </x:c>
      <x:c r="Q331" s="25" t="n">
        <x:f>M331+O331</x:f>
        <x:v>510</x:v>
      </x:c>
      <x:c r="R331" s="25" t="n">
        <x:f>MAX(0,MIN(J331,P331)-MAX(F331,L331))</x:f>
        <x:v>287</x:v>
      </x:c>
      <x:c r="S331" s="25" t="n">
        <x:f>MAX(0,MIN(K331,Q331)-MAX(G331,M331))</x:f>
        <x:v>0</x:v>
      </x:c>
      <x:c r="T331" s="25" t="n">
        <x:f>R331*S331</x:f>
        <x:v>0</x:v>
      </x:c>
      <x:c r="U331" s="24" t="str">
        <x:f>IF(T331&gt;0,"ERREUR chevauchement","OK aucun chevauchement")</x:f>
        <x:v>OK aucun chevauchement</x:v>
      </x:c>
      <x:c r="V331" s="24" t="str">
        <x:v>OK aucun chevauchement</x:v>
      </x:c>
      <x:c r="W331" s="24" t="str">
        <x:v>Si ERREUR : déplacer/redimensionner l’objet B ou créer un bookmark/masquage</x:v>
      </x:c>
    </x:row>
    <x:row r="332">
      <x:c r="A332" s="24" t="str">
        <x:v>Rendez-vous</x:v>
      </x:c>
      <x:c r="B332" s="24" t="str">
        <x:v>G00_Header_Global</x:v>
      </x:c>
      <x:c r="C332" s="24" t="str">
        <x:v>Header_Global</x:v>
      </x:c>
      <x:c r="D332" s="24" t="str">
        <x:v>G03_KPI_Row</x:v>
      </x:c>
      <x:c r="E332" s="24" t="str">
        <x:v>KPI_Card_05</x:v>
      </x:c>
      <x:c r="F332" s="25" t="n">
        <x:v>0</x:v>
      </x:c>
      <x:c r="G332" s="25" t="n">
        <x:v>0</x:v>
      </x:c>
      <x:c r="H332" s="25" t="n">
        <x:v>1540</x:v>
      </x:c>
      <x:c r="I332" s="25" t="n">
        <x:v>88</x:v>
      </x:c>
      <x:c r="J332" s="25" t="n">
        <x:f>F332+H332</x:f>
        <x:v>1540</x:v>
      </x:c>
      <x:c r="K332" s="25" t="n">
        <x:f>G332+I332</x:f>
        <x:v>88</x:v>
      </x:c>
      <x:c r="L332" s="25" t="n">
        <x:v>1232</x:v>
      </x:c>
      <x:c r="M332" s="25" t="n">
        <x:v>330</x:v>
      </x:c>
      <x:c r="N332" s="25" t="n">
        <x:v>287</x:v>
      </x:c>
      <x:c r="O332" s="25" t="n">
        <x:v>180</x:v>
      </x:c>
      <x:c r="P332" s="25" t="n">
        <x:f>L332+N332</x:f>
        <x:v>1519</x:v>
      </x:c>
      <x:c r="Q332" s="25" t="n">
        <x:f>M332+O332</x:f>
        <x:v>510</x:v>
      </x:c>
      <x:c r="R332" s="25" t="n">
        <x:f>MAX(0,MIN(J332,P332)-MAX(F332,L332))</x:f>
        <x:v>287</x:v>
      </x:c>
      <x:c r="S332" s="25" t="n">
        <x:f>MAX(0,MIN(K332,Q332)-MAX(G332,M332))</x:f>
        <x:v>0</x:v>
      </x:c>
      <x:c r="T332" s="25" t="n">
        <x:f>R332*S332</x:f>
        <x:v>0</x:v>
      </x:c>
      <x:c r="U332" s="24" t="str">
        <x:f>IF(T332&gt;0,"ERREUR chevauchement","OK aucun chevauchement")</x:f>
        <x:v>OK aucun chevauchement</x:v>
      </x:c>
      <x:c r="V332" s="24" t="str">
        <x:v>OK aucun chevauchement</x:v>
      </x:c>
      <x:c r="W332" s="24" t="str">
        <x:v>Si ERREUR : déplacer/redimensionner l’objet B ou créer un bookmark/masquage</x:v>
      </x:c>
    </x:row>
    <x:row r="333">
      <x:c r="A333" s="24" t="str">
        <x:v>Rendez-vous</x:v>
      </x:c>
      <x:c r="B333" s="24" t="str">
        <x:v>G00_Header_Global</x:v>
      </x:c>
      <x:c r="C333" s="24" t="str">
        <x:v>Header_Global</x:v>
      </x:c>
      <x:c r="D333" s="24" t="str">
        <x:v>G04_Charts</x:v>
      </x:c>
      <x:c r="E333" s="24" t="str">
        <x:v>Bar_Repartition_RDV</x:v>
      </x:c>
      <x:c r="F333" s="25" t="n">
        <x:v>0</x:v>
      </x:c>
      <x:c r="G333" s="25" t="n">
        <x:v>0</x:v>
      </x:c>
      <x:c r="H333" s="25" t="n">
        <x:v>1540</x:v>
      </x:c>
      <x:c r="I333" s="25" t="n">
        <x:v>88</x:v>
      </x:c>
      <x:c r="J333" s="25" t="n">
        <x:f>F333+H333</x:f>
        <x:v>1540</x:v>
      </x:c>
      <x:c r="K333" s="25" t="n">
        <x:f>G333+I333</x:f>
        <x:v>88</x:v>
      </x:c>
      <x:c r="L333" s="25" t="n">
        <x:v>20</x:v>
      </x:c>
      <x:c r="M333" s="25" t="n">
        <x:v>535</x:v>
      </x:c>
      <x:c r="N333" s="25" t="n">
        <x:v>490</x:v>
      </x:c>
      <x:c r="O333" s="25" t="n">
        <x:v>320</x:v>
      </x:c>
      <x:c r="P333" s="25" t="n">
        <x:f>L333+N333</x:f>
        <x:v>510</x:v>
      </x:c>
      <x:c r="Q333" s="25" t="n">
        <x:f>M333+O333</x:f>
        <x:v>855</x:v>
      </x:c>
      <x:c r="R333" s="25" t="n">
        <x:f>MAX(0,MIN(J333,P333)-MAX(F333,L333))</x:f>
        <x:v>490</x:v>
      </x:c>
      <x:c r="S333" s="25" t="n">
        <x:f>MAX(0,MIN(K333,Q333)-MAX(G333,M333))</x:f>
        <x:v>0</x:v>
      </x:c>
      <x:c r="T333" s="25" t="n">
        <x:f>R333*S333</x:f>
        <x:v>0</x:v>
      </x:c>
      <x:c r="U333" s="24" t="str">
        <x:f>IF(T333&gt;0,"ERREUR chevauchement","OK aucun chevauchement")</x:f>
        <x:v>OK aucun chevauchement</x:v>
      </x:c>
      <x:c r="V333" s="24" t="str">
        <x:v>OK aucun chevauchement</x:v>
      </x:c>
      <x:c r="W333" s="24" t="str">
        <x:v>Si ERREUR : déplacer/redimensionner l’objet B ou créer un bookmark/masquage</x:v>
      </x:c>
    </x:row>
    <x:row r="334">
      <x:c r="A334" s="24" t="str">
        <x:v>Rendez-vous</x:v>
      </x:c>
      <x:c r="B334" s="24" t="str">
        <x:v>G00_Header_Global</x:v>
      </x:c>
      <x:c r="C334" s="24" t="str">
        <x:v>Header_Global</x:v>
      </x:c>
      <x:c r="D334" s="24" t="str">
        <x:v>G04_Charts</x:v>
      </x:c>
      <x:c r="E334" s="24" t="str">
        <x:v>Line_RDV_Prevus_Realises</x:v>
      </x:c>
      <x:c r="F334" s="25" t="n">
        <x:v>0</x:v>
      </x:c>
      <x:c r="G334" s="25" t="n">
        <x:v>0</x:v>
      </x:c>
      <x:c r="H334" s="25" t="n">
        <x:v>1540</x:v>
      </x:c>
      <x:c r="I334" s="25" t="n">
        <x:v>88</x:v>
      </x:c>
      <x:c r="J334" s="25" t="n">
        <x:f>F334+H334</x:f>
        <x:v>1540</x:v>
      </x:c>
      <x:c r="K334" s="25" t="n">
        <x:f>G334+I334</x:f>
        <x:v>88</x:v>
      </x:c>
      <x:c r="L334" s="25" t="n">
        <x:v>526</x:v>
      </x:c>
      <x:c r="M334" s="25" t="n">
        <x:v>535</x:v>
      </x:c>
      <x:c r="N334" s="25" t="n">
        <x:v>994</x:v>
      </x:c>
      <x:c r="O334" s="25" t="n">
        <x:v>320</x:v>
      </x:c>
      <x:c r="P334" s="25" t="n">
        <x:f>L334+N334</x:f>
        <x:v>1520</x:v>
      </x:c>
      <x:c r="Q334" s="25" t="n">
        <x:f>M334+O334</x:f>
        <x:v>855</x:v>
      </x:c>
      <x:c r="R334" s="25" t="n">
        <x:f>MAX(0,MIN(J334,P334)-MAX(F334,L334))</x:f>
        <x:v>994</x:v>
      </x:c>
      <x:c r="S334" s="25" t="n">
        <x:f>MAX(0,MIN(K334,Q334)-MAX(G334,M334))</x:f>
        <x:v>0</x:v>
      </x:c>
      <x:c r="T334" s="25" t="n">
        <x:f>R334*S334</x:f>
        <x:v>0</x:v>
      </x:c>
      <x:c r="U334" s="24" t="str">
        <x:f>IF(T334&gt;0,"ERREUR chevauchement","OK aucun chevauchement")</x:f>
        <x:v>OK aucun chevauchement</x:v>
      </x:c>
      <x:c r="V334" s="24" t="str">
        <x:v>OK aucun chevauchement</x:v>
      </x:c>
      <x:c r="W334" s="24" t="str">
        <x:v>Si ERREUR : déplacer/redimensionner l’objet B ou créer un bookmark/masquage</x:v>
      </x:c>
    </x:row>
    <x:row r="335">
      <x:c r="A335" s="24" t="str">
        <x:v>Rendez-vous</x:v>
      </x:c>
      <x:c r="B335" s="24" t="str">
        <x:v>G00_Header_Global</x:v>
      </x:c>
      <x:c r="C335" s="24" t="str">
        <x:v>Header_Global</x:v>
      </x:c>
      <x:c r="D335" s="24" t="str">
        <x:v>G05_Table</x:v>
      </x:c>
      <x:c r="E335" s="24" t="str">
        <x:v>Table_Detail_RDV</x:v>
      </x:c>
      <x:c r="F335" s="25" t="n">
        <x:v>0</x:v>
      </x:c>
      <x:c r="G335" s="25" t="n">
        <x:v>0</x:v>
      </x:c>
      <x:c r="H335" s="25" t="n">
        <x:v>1540</x:v>
      </x:c>
      <x:c r="I335" s="25" t="n">
        <x:v>88</x:v>
      </x:c>
      <x:c r="J335" s="25" t="n">
        <x:f>F335+H335</x:f>
        <x:v>1540</x:v>
      </x:c>
      <x:c r="K335" s="25" t="n">
        <x:f>G335+I335</x:f>
        <x:v>88</x:v>
      </x:c>
      <x:c r="L335" s="25" t="n">
        <x:v>20</x:v>
      </x:c>
      <x:c r="M335" s="25" t="n">
        <x:v>875</x:v>
      </x:c>
      <x:c r="N335" s="25" t="n">
        <x:v>1500</x:v>
      </x:c>
      <x:c r="O335" s="25" t="n">
        <x:v>360</x:v>
      </x:c>
      <x:c r="P335" s="25" t="n">
        <x:f>L335+N335</x:f>
        <x:v>1520</x:v>
      </x:c>
      <x:c r="Q335" s="25" t="n">
        <x:f>M335+O335</x:f>
        <x:v>1235</x:v>
      </x:c>
      <x:c r="R335" s="25" t="n">
        <x:f>MAX(0,MIN(J335,P335)-MAX(F335,L335))</x:f>
        <x:v>1500</x:v>
      </x:c>
      <x:c r="S335" s="25" t="n">
        <x:f>MAX(0,MIN(K335,Q335)-MAX(G335,M335))</x:f>
        <x:v>0</x:v>
      </x:c>
      <x:c r="T335" s="25" t="n">
        <x:f>R335*S335</x:f>
        <x:v>0</x:v>
      </x:c>
      <x:c r="U335" s="24" t="str">
        <x:f>IF(T335&gt;0,"ERREUR chevauchement","OK aucun chevauchement")</x:f>
        <x:v>OK aucun chevauchement</x:v>
      </x:c>
      <x:c r="V335" s="24" t="str">
        <x:v>OK aucun chevauchement</x:v>
      </x:c>
      <x:c r="W335" s="24" t="str">
        <x:v>Si ERREUR : déplacer/redimensionner l’objet B ou créer un bookmark/masquage</x:v>
      </x:c>
    </x:row>
    <x:row r="336">
      <x:c r="A336" s="24" t="str">
        <x:v>Rendez-vous</x:v>
      </x:c>
      <x:c r="B336" s="24" t="str">
        <x:v>G01_Title_Zone</x:v>
      </x:c>
      <x:c r="C336" s="24" t="str">
        <x:v>Title_Zone</x:v>
      </x:c>
      <x:c r="D336" s="24" t="str">
        <x:v>G02_Toolbar</x:v>
      </x:c>
      <x:c r="E336" s="24" t="str">
        <x:v>Toolbar_Slicers_FieldParams</x:v>
      </x:c>
      <x:c r="F336" s="25" t="n">
        <x:v>20</x:v>
      </x:c>
      <x:c r="G336" s="25" t="n">
        <x:v>110</x:v>
      </x:c>
      <x:c r="H336" s="25" t="n">
        <x:v>1500</x:v>
      </x:c>
      <x:c r="I336" s="25" t="n">
        <x:v>132</x:v>
      </x:c>
      <x:c r="J336" s="25" t="n">
        <x:f>F336+H336</x:f>
        <x:v>1520</x:v>
      </x:c>
      <x:c r="K336" s="25" t="n">
        <x:f>G336+I336</x:f>
        <x:v>242</x:v>
      </x:c>
      <x:c r="L336" s="25" t="n">
        <x:v>20</x:v>
      </x:c>
      <x:c r="M336" s="25" t="n">
        <x:v>260</x:v>
      </x:c>
      <x:c r="N336" s="25" t="n">
        <x:v>1500</x:v>
      </x:c>
      <x:c r="O336" s="25" t="n">
        <x:v>56</x:v>
      </x:c>
      <x:c r="P336" s="25" t="n">
        <x:f>L336+N336</x:f>
        <x:v>1520</x:v>
      </x:c>
      <x:c r="Q336" s="25" t="n">
        <x:f>M336+O336</x:f>
        <x:v>316</x:v>
      </x:c>
      <x:c r="R336" s="25" t="n">
        <x:f>MAX(0,MIN(J336,P336)-MAX(F336,L336))</x:f>
        <x:v>1500</x:v>
      </x:c>
      <x:c r="S336" s="25" t="n">
        <x:f>MAX(0,MIN(K336,Q336)-MAX(G336,M336))</x:f>
        <x:v>0</x:v>
      </x:c>
      <x:c r="T336" s="25" t="n">
        <x:f>R336*S336</x:f>
        <x:v>0</x:v>
      </x:c>
      <x:c r="U336" s="24" t="str">
        <x:f>IF(T336&gt;0,"ERREUR chevauchement","OK aucun chevauchement")</x:f>
        <x:v>OK aucun chevauchement</x:v>
      </x:c>
      <x:c r="V336" s="24" t="str">
        <x:v>OK aucun chevauchement</x:v>
      </x:c>
      <x:c r="W336" s="24" t="str">
        <x:v>Si ERREUR : déplacer/redimensionner l’objet B ou créer un bookmark/masquage</x:v>
      </x:c>
    </x:row>
    <x:row r="337">
      <x:c r="A337" s="24" t="str">
        <x:v>Rendez-vous</x:v>
      </x:c>
      <x:c r="B337" s="24" t="str">
        <x:v>G01_Title_Zone</x:v>
      </x:c>
      <x:c r="C337" s="24" t="str">
        <x:v>Title_Zone</x:v>
      </x:c>
      <x:c r="D337" s="24" t="str">
        <x:v>G03_KPI_Row</x:v>
      </x:c>
      <x:c r="E337" s="24" t="str">
        <x:v>KPI_Card_01</x:v>
      </x:c>
      <x:c r="F337" s="25" t="n">
        <x:v>20</x:v>
      </x:c>
      <x:c r="G337" s="25" t="n">
        <x:v>110</x:v>
      </x:c>
      <x:c r="H337" s="25" t="n">
        <x:v>1500</x:v>
      </x:c>
      <x:c r="I337" s="25" t="n">
        <x:v>132</x:v>
      </x:c>
      <x:c r="J337" s="25" t="n">
        <x:f>F337+H337</x:f>
        <x:v>1520</x:v>
      </x:c>
      <x:c r="K337" s="25" t="n">
        <x:f>G337+I337</x:f>
        <x:v>242</x:v>
      </x:c>
      <x:c r="L337" s="25" t="n">
        <x:v>20</x:v>
      </x:c>
      <x:c r="M337" s="25" t="n">
        <x:v>330</x:v>
      </x:c>
      <x:c r="N337" s="25" t="n">
        <x:v>287</x:v>
      </x:c>
      <x:c r="O337" s="25" t="n">
        <x:v>180</x:v>
      </x:c>
      <x:c r="P337" s="25" t="n">
        <x:f>L337+N337</x:f>
        <x:v>307</x:v>
      </x:c>
      <x:c r="Q337" s="25" t="n">
        <x:f>M337+O337</x:f>
        <x:v>510</x:v>
      </x:c>
      <x:c r="R337" s="25" t="n">
        <x:f>MAX(0,MIN(J337,P337)-MAX(F337,L337))</x:f>
        <x:v>287</x:v>
      </x:c>
      <x:c r="S337" s="25" t="n">
        <x:f>MAX(0,MIN(K337,Q337)-MAX(G337,M337))</x:f>
        <x:v>0</x:v>
      </x:c>
      <x:c r="T337" s="25" t="n">
        <x:f>R337*S337</x:f>
        <x:v>0</x:v>
      </x:c>
      <x:c r="U337" s="24" t="str">
        <x:f>IF(T337&gt;0,"ERREUR chevauchement","OK aucun chevauchement")</x:f>
        <x:v>OK aucun chevauchement</x:v>
      </x:c>
      <x:c r="V337" s="24" t="str">
        <x:v>OK aucun chevauchement</x:v>
      </x:c>
      <x:c r="W337" s="24" t="str">
        <x:v>Si ERREUR : déplacer/redimensionner l’objet B ou créer un bookmark/masquage</x:v>
      </x:c>
    </x:row>
    <x:row r="338">
      <x:c r="A338" s="24" t="str">
        <x:v>Rendez-vous</x:v>
      </x:c>
      <x:c r="B338" s="24" t="str">
        <x:v>G01_Title_Zone</x:v>
      </x:c>
      <x:c r="C338" s="24" t="str">
        <x:v>Title_Zone</x:v>
      </x:c>
      <x:c r="D338" s="24" t="str">
        <x:v>G03_KPI_Row</x:v>
      </x:c>
      <x:c r="E338" s="24" t="str">
        <x:v>KPI_Card_02</x:v>
      </x:c>
      <x:c r="F338" s="25" t="n">
        <x:v>20</x:v>
      </x:c>
      <x:c r="G338" s="25" t="n">
        <x:v>110</x:v>
      </x:c>
      <x:c r="H338" s="25" t="n">
        <x:v>1500</x:v>
      </x:c>
      <x:c r="I338" s="25" t="n">
        <x:v>132</x:v>
      </x:c>
      <x:c r="J338" s="25" t="n">
        <x:f>F338+H338</x:f>
        <x:v>1520</x:v>
      </x:c>
      <x:c r="K338" s="25" t="n">
        <x:f>G338+I338</x:f>
        <x:v>242</x:v>
      </x:c>
      <x:c r="L338" s="25" t="n">
        <x:v>323</x:v>
      </x:c>
      <x:c r="M338" s="25" t="n">
        <x:v>330</x:v>
      </x:c>
      <x:c r="N338" s="25" t="n">
        <x:v>287</x:v>
      </x:c>
      <x:c r="O338" s="25" t="n">
        <x:v>180</x:v>
      </x:c>
      <x:c r="P338" s="25" t="n">
        <x:f>L338+N338</x:f>
        <x:v>610</x:v>
      </x:c>
      <x:c r="Q338" s="25" t="n">
        <x:f>M338+O338</x:f>
        <x:v>510</x:v>
      </x:c>
      <x:c r="R338" s="25" t="n">
        <x:f>MAX(0,MIN(J338,P338)-MAX(F338,L338))</x:f>
        <x:v>287</x:v>
      </x:c>
      <x:c r="S338" s="25" t="n">
        <x:f>MAX(0,MIN(K338,Q338)-MAX(G338,M338))</x:f>
        <x:v>0</x:v>
      </x:c>
      <x:c r="T338" s="25" t="n">
        <x:f>R338*S338</x:f>
        <x:v>0</x:v>
      </x:c>
      <x:c r="U338" s="24" t="str">
        <x:f>IF(T338&gt;0,"ERREUR chevauchement","OK aucun chevauchement")</x:f>
        <x:v>OK aucun chevauchement</x:v>
      </x:c>
      <x:c r="V338" s="24" t="str">
        <x:v>OK aucun chevauchement</x:v>
      </x:c>
      <x:c r="W338" s="24" t="str">
        <x:v>Si ERREUR : déplacer/redimensionner l’objet B ou créer un bookmark/masquage</x:v>
      </x:c>
    </x:row>
    <x:row r="339">
      <x:c r="A339" s="24" t="str">
        <x:v>Rendez-vous</x:v>
      </x:c>
      <x:c r="B339" s="24" t="str">
        <x:v>G01_Title_Zone</x:v>
      </x:c>
      <x:c r="C339" s="24" t="str">
        <x:v>Title_Zone</x:v>
      </x:c>
      <x:c r="D339" s="24" t="str">
        <x:v>G03_KPI_Row</x:v>
      </x:c>
      <x:c r="E339" s="24" t="str">
        <x:v>KPI_Card_03</x:v>
      </x:c>
      <x:c r="F339" s="25" t="n">
        <x:v>20</x:v>
      </x:c>
      <x:c r="G339" s="25" t="n">
        <x:v>110</x:v>
      </x:c>
      <x:c r="H339" s="25" t="n">
        <x:v>1500</x:v>
      </x:c>
      <x:c r="I339" s="25" t="n">
        <x:v>132</x:v>
      </x:c>
      <x:c r="J339" s="25" t="n">
        <x:f>F339+H339</x:f>
        <x:v>1520</x:v>
      </x:c>
      <x:c r="K339" s="25" t="n">
        <x:f>G339+I339</x:f>
        <x:v>242</x:v>
      </x:c>
      <x:c r="L339" s="25" t="n">
        <x:v>626</x:v>
      </x:c>
      <x:c r="M339" s="25" t="n">
        <x:v>330</x:v>
      </x:c>
      <x:c r="N339" s="25" t="n">
        <x:v>287</x:v>
      </x:c>
      <x:c r="O339" s="25" t="n">
        <x:v>180</x:v>
      </x:c>
      <x:c r="P339" s="25" t="n">
        <x:f>L339+N339</x:f>
        <x:v>913</x:v>
      </x:c>
      <x:c r="Q339" s="25" t="n">
        <x:f>M339+O339</x:f>
        <x:v>510</x:v>
      </x:c>
      <x:c r="R339" s="25" t="n">
        <x:f>MAX(0,MIN(J339,P339)-MAX(F339,L339))</x:f>
        <x:v>287</x:v>
      </x:c>
      <x:c r="S339" s="25" t="n">
        <x:f>MAX(0,MIN(K339,Q339)-MAX(G339,M339))</x:f>
        <x:v>0</x:v>
      </x:c>
      <x:c r="T339" s="25" t="n">
        <x:f>R339*S339</x:f>
        <x:v>0</x:v>
      </x:c>
      <x:c r="U339" s="24" t="str">
        <x:f>IF(T339&gt;0,"ERREUR chevauchement","OK aucun chevauchement")</x:f>
        <x:v>OK aucun chevauchement</x:v>
      </x:c>
      <x:c r="V339" s="24" t="str">
        <x:v>OK aucun chevauchement</x:v>
      </x:c>
      <x:c r="W339" s="24" t="str">
        <x:v>Si ERREUR : déplacer/redimensionner l’objet B ou créer un bookmark/masquage</x:v>
      </x:c>
    </x:row>
    <x:row r="340">
      <x:c r="A340" s="24" t="str">
        <x:v>Rendez-vous</x:v>
      </x:c>
      <x:c r="B340" s="24" t="str">
        <x:v>G01_Title_Zone</x:v>
      </x:c>
      <x:c r="C340" s="24" t="str">
        <x:v>Title_Zone</x:v>
      </x:c>
      <x:c r="D340" s="24" t="str">
        <x:v>G03_KPI_Row</x:v>
      </x:c>
      <x:c r="E340" s="24" t="str">
        <x:v>KPI_Card_04</x:v>
      </x:c>
      <x:c r="F340" s="25" t="n">
        <x:v>20</x:v>
      </x:c>
      <x:c r="G340" s="25" t="n">
        <x:v>110</x:v>
      </x:c>
      <x:c r="H340" s="25" t="n">
        <x:v>1500</x:v>
      </x:c>
      <x:c r="I340" s="25" t="n">
        <x:v>132</x:v>
      </x:c>
      <x:c r="J340" s="25" t="n">
        <x:f>F340+H340</x:f>
        <x:v>1520</x:v>
      </x:c>
      <x:c r="K340" s="25" t="n">
        <x:f>G340+I340</x:f>
        <x:v>242</x:v>
      </x:c>
      <x:c r="L340" s="25" t="n">
        <x:v>929</x:v>
      </x:c>
      <x:c r="M340" s="25" t="n">
        <x:v>330</x:v>
      </x:c>
      <x:c r="N340" s="25" t="n">
        <x:v>287</x:v>
      </x:c>
      <x:c r="O340" s="25" t="n">
        <x:v>180</x:v>
      </x:c>
      <x:c r="P340" s="25" t="n">
        <x:f>L340+N340</x:f>
        <x:v>1216</x:v>
      </x:c>
      <x:c r="Q340" s="25" t="n">
        <x:f>M340+O340</x:f>
        <x:v>510</x:v>
      </x:c>
      <x:c r="R340" s="25" t="n">
        <x:f>MAX(0,MIN(J340,P340)-MAX(F340,L340))</x:f>
        <x:v>287</x:v>
      </x:c>
      <x:c r="S340" s="25" t="n">
        <x:f>MAX(0,MIN(K340,Q340)-MAX(G340,M340))</x:f>
        <x:v>0</x:v>
      </x:c>
      <x:c r="T340" s="25" t="n">
        <x:f>R340*S340</x:f>
        <x:v>0</x:v>
      </x:c>
      <x:c r="U340" s="24" t="str">
        <x:f>IF(T340&gt;0,"ERREUR chevauchement","OK aucun chevauchement")</x:f>
        <x:v>OK aucun chevauchement</x:v>
      </x:c>
      <x:c r="V340" s="24" t="str">
        <x:v>OK aucun chevauchement</x:v>
      </x:c>
      <x:c r="W340" s="24" t="str">
        <x:v>Si ERREUR : déplacer/redimensionner l’objet B ou créer un bookmark/masquage</x:v>
      </x:c>
    </x:row>
    <x:row r="341">
      <x:c r="A341" s="24" t="str">
        <x:v>Rendez-vous</x:v>
      </x:c>
      <x:c r="B341" s="24" t="str">
        <x:v>G01_Title_Zone</x:v>
      </x:c>
      <x:c r="C341" s="24" t="str">
        <x:v>Title_Zone</x:v>
      </x:c>
      <x:c r="D341" s="24" t="str">
        <x:v>G03_KPI_Row</x:v>
      </x:c>
      <x:c r="E341" s="24" t="str">
        <x:v>KPI_Card_05</x:v>
      </x:c>
      <x:c r="F341" s="25" t="n">
        <x:v>20</x:v>
      </x:c>
      <x:c r="G341" s="25" t="n">
        <x:v>110</x:v>
      </x:c>
      <x:c r="H341" s="25" t="n">
        <x:v>1500</x:v>
      </x:c>
      <x:c r="I341" s="25" t="n">
        <x:v>132</x:v>
      </x:c>
      <x:c r="J341" s="25" t="n">
        <x:f>F341+H341</x:f>
        <x:v>1520</x:v>
      </x:c>
      <x:c r="K341" s="25" t="n">
        <x:f>G341+I341</x:f>
        <x:v>242</x:v>
      </x:c>
      <x:c r="L341" s="25" t="n">
        <x:v>1232</x:v>
      </x:c>
      <x:c r="M341" s="25" t="n">
        <x:v>330</x:v>
      </x:c>
      <x:c r="N341" s="25" t="n">
        <x:v>287</x:v>
      </x:c>
      <x:c r="O341" s="25" t="n">
        <x:v>180</x:v>
      </x:c>
      <x:c r="P341" s="25" t="n">
        <x:f>L341+N341</x:f>
        <x:v>1519</x:v>
      </x:c>
      <x:c r="Q341" s="25" t="n">
        <x:f>M341+O341</x:f>
        <x:v>510</x:v>
      </x:c>
      <x:c r="R341" s="25" t="n">
        <x:f>MAX(0,MIN(J341,P341)-MAX(F341,L341))</x:f>
        <x:v>287</x:v>
      </x:c>
      <x:c r="S341" s="25" t="n">
        <x:f>MAX(0,MIN(K341,Q341)-MAX(G341,M341))</x:f>
        <x:v>0</x:v>
      </x:c>
      <x:c r="T341" s="25" t="n">
        <x:f>R341*S341</x:f>
        <x:v>0</x:v>
      </x:c>
      <x:c r="U341" s="24" t="str">
        <x:f>IF(T341&gt;0,"ERREUR chevauchement","OK aucun chevauchement")</x:f>
        <x:v>OK aucun chevauchement</x:v>
      </x:c>
      <x:c r="V341" s="24" t="str">
        <x:v>OK aucun chevauchement</x:v>
      </x:c>
      <x:c r="W341" s="24" t="str">
        <x:v>Si ERREUR : déplacer/redimensionner l’objet B ou créer un bookmark/masquage</x:v>
      </x:c>
    </x:row>
    <x:row r="342">
      <x:c r="A342" s="24" t="str">
        <x:v>Rendez-vous</x:v>
      </x:c>
      <x:c r="B342" s="24" t="str">
        <x:v>G01_Title_Zone</x:v>
      </x:c>
      <x:c r="C342" s="24" t="str">
        <x:v>Title_Zone</x:v>
      </x:c>
      <x:c r="D342" s="24" t="str">
        <x:v>G04_Charts</x:v>
      </x:c>
      <x:c r="E342" s="24" t="str">
        <x:v>Bar_Repartition_RDV</x:v>
      </x:c>
      <x:c r="F342" s="25" t="n">
        <x:v>20</x:v>
      </x:c>
      <x:c r="G342" s="25" t="n">
        <x:v>110</x:v>
      </x:c>
      <x:c r="H342" s="25" t="n">
        <x:v>1500</x:v>
      </x:c>
      <x:c r="I342" s="25" t="n">
        <x:v>132</x:v>
      </x:c>
      <x:c r="J342" s="25" t="n">
        <x:f>F342+H342</x:f>
        <x:v>1520</x:v>
      </x:c>
      <x:c r="K342" s="25" t="n">
        <x:f>G342+I342</x:f>
        <x:v>242</x:v>
      </x:c>
      <x:c r="L342" s="25" t="n">
        <x:v>20</x:v>
      </x:c>
      <x:c r="M342" s="25" t="n">
        <x:v>535</x:v>
      </x:c>
      <x:c r="N342" s="25" t="n">
        <x:v>490</x:v>
      </x:c>
      <x:c r="O342" s="25" t="n">
        <x:v>320</x:v>
      </x:c>
      <x:c r="P342" s="25" t="n">
        <x:f>L342+N342</x:f>
        <x:v>510</x:v>
      </x:c>
      <x:c r="Q342" s="25" t="n">
        <x:f>M342+O342</x:f>
        <x:v>855</x:v>
      </x:c>
      <x:c r="R342" s="25" t="n">
        <x:f>MAX(0,MIN(J342,P342)-MAX(F342,L342))</x:f>
        <x:v>490</x:v>
      </x:c>
      <x:c r="S342" s="25" t="n">
        <x:f>MAX(0,MIN(K342,Q342)-MAX(G342,M342))</x:f>
        <x:v>0</x:v>
      </x:c>
      <x:c r="T342" s="25" t="n">
        <x:f>R342*S342</x:f>
        <x:v>0</x:v>
      </x:c>
      <x:c r="U342" s="24" t="str">
        <x:f>IF(T342&gt;0,"ERREUR chevauchement","OK aucun chevauchement")</x:f>
        <x:v>OK aucun chevauchement</x:v>
      </x:c>
      <x:c r="V342" s="24" t="str">
        <x:v>OK aucun chevauchement</x:v>
      </x:c>
      <x:c r="W342" s="24" t="str">
        <x:v>Si ERREUR : déplacer/redimensionner l’objet B ou créer un bookmark/masquage</x:v>
      </x:c>
    </x:row>
    <x:row r="343">
      <x:c r="A343" s="24" t="str">
        <x:v>Rendez-vous</x:v>
      </x:c>
      <x:c r="B343" s="24" t="str">
        <x:v>G01_Title_Zone</x:v>
      </x:c>
      <x:c r="C343" s="24" t="str">
        <x:v>Title_Zone</x:v>
      </x:c>
      <x:c r="D343" s="24" t="str">
        <x:v>G04_Charts</x:v>
      </x:c>
      <x:c r="E343" s="24" t="str">
        <x:v>Line_RDV_Prevus_Realises</x:v>
      </x:c>
      <x:c r="F343" s="25" t="n">
        <x:v>20</x:v>
      </x:c>
      <x:c r="G343" s="25" t="n">
        <x:v>110</x:v>
      </x:c>
      <x:c r="H343" s="25" t="n">
        <x:v>1500</x:v>
      </x:c>
      <x:c r="I343" s="25" t="n">
        <x:v>132</x:v>
      </x:c>
      <x:c r="J343" s="25" t="n">
        <x:f>F343+H343</x:f>
        <x:v>1520</x:v>
      </x:c>
      <x:c r="K343" s="25" t="n">
        <x:f>G343+I343</x:f>
        <x:v>242</x:v>
      </x:c>
      <x:c r="L343" s="25" t="n">
        <x:v>526</x:v>
      </x:c>
      <x:c r="M343" s="25" t="n">
        <x:v>535</x:v>
      </x:c>
      <x:c r="N343" s="25" t="n">
        <x:v>994</x:v>
      </x:c>
      <x:c r="O343" s="25" t="n">
        <x:v>320</x:v>
      </x:c>
      <x:c r="P343" s="25" t="n">
        <x:f>L343+N343</x:f>
        <x:v>1520</x:v>
      </x:c>
      <x:c r="Q343" s="25" t="n">
        <x:f>M343+O343</x:f>
        <x:v>855</x:v>
      </x:c>
      <x:c r="R343" s="25" t="n">
        <x:f>MAX(0,MIN(J343,P343)-MAX(F343,L343))</x:f>
        <x:v>994</x:v>
      </x:c>
      <x:c r="S343" s="25" t="n">
        <x:f>MAX(0,MIN(K343,Q343)-MAX(G343,M343))</x:f>
        <x:v>0</x:v>
      </x:c>
      <x:c r="T343" s="25" t="n">
        <x:f>R343*S343</x:f>
        <x:v>0</x:v>
      </x:c>
      <x:c r="U343" s="24" t="str">
        <x:f>IF(T343&gt;0,"ERREUR chevauchement","OK aucun chevauchement")</x:f>
        <x:v>OK aucun chevauchement</x:v>
      </x:c>
      <x:c r="V343" s="24" t="str">
        <x:v>OK aucun chevauchement</x:v>
      </x:c>
      <x:c r="W343" s="24" t="str">
        <x:v>Si ERREUR : déplacer/redimensionner l’objet B ou créer un bookmark/masquage</x:v>
      </x:c>
    </x:row>
    <x:row r="344">
      <x:c r="A344" s="24" t="str">
        <x:v>Rendez-vous</x:v>
      </x:c>
      <x:c r="B344" s="24" t="str">
        <x:v>G01_Title_Zone</x:v>
      </x:c>
      <x:c r="C344" s="24" t="str">
        <x:v>Title_Zone</x:v>
      </x:c>
      <x:c r="D344" s="24" t="str">
        <x:v>G05_Table</x:v>
      </x:c>
      <x:c r="E344" s="24" t="str">
        <x:v>Table_Detail_RDV</x:v>
      </x:c>
      <x:c r="F344" s="25" t="n">
        <x:v>20</x:v>
      </x:c>
      <x:c r="G344" s="25" t="n">
        <x:v>110</x:v>
      </x:c>
      <x:c r="H344" s="25" t="n">
        <x:v>1500</x:v>
      </x:c>
      <x:c r="I344" s="25" t="n">
        <x:v>132</x:v>
      </x:c>
      <x:c r="J344" s="25" t="n">
        <x:f>F344+H344</x:f>
        <x:v>1520</x:v>
      </x:c>
      <x:c r="K344" s="25" t="n">
        <x:f>G344+I344</x:f>
        <x:v>242</x:v>
      </x:c>
      <x:c r="L344" s="25" t="n">
        <x:v>20</x:v>
      </x:c>
      <x:c r="M344" s="25" t="n">
        <x:v>875</x:v>
      </x:c>
      <x:c r="N344" s="25" t="n">
        <x:v>1500</x:v>
      </x:c>
      <x:c r="O344" s="25" t="n">
        <x:v>360</x:v>
      </x:c>
      <x:c r="P344" s="25" t="n">
        <x:f>L344+N344</x:f>
        <x:v>1520</x:v>
      </x:c>
      <x:c r="Q344" s="25" t="n">
        <x:f>M344+O344</x:f>
        <x:v>1235</x:v>
      </x:c>
      <x:c r="R344" s="25" t="n">
        <x:f>MAX(0,MIN(J344,P344)-MAX(F344,L344))</x:f>
        <x:v>1500</x:v>
      </x:c>
      <x:c r="S344" s="25" t="n">
        <x:f>MAX(0,MIN(K344,Q344)-MAX(G344,M344))</x:f>
        <x:v>0</x:v>
      </x:c>
      <x:c r="T344" s="25" t="n">
        <x:f>R344*S344</x:f>
        <x:v>0</x:v>
      </x:c>
      <x:c r="U344" s="24" t="str">
        <x:f>IF(T344&gt;0,"ERREUR chevauchement","OK aucun chevauchement")</x:f>
        <x:v>OK aucun chevauchement</x:v>
      </x:c>
      <x:c r="V344" s="24" t="str">
        <x:v>OK aucun chevauchement</x:v>
      </x:c>
      <x:c r="W344" s="24" t="str">
        <x:v>Si ERREUR : déplacer/redimensionner l’objet B ou créer un bookmark/masquage</x:v>
      </x:c>
    </x:row>
    <x:row r="345">
      <x:c r="A345" s="24" t="str">
        <x:v>Rendez-vous</x:v>
      </x:c>
      <x:c r="B345" s="24" t="str">
        <x:v>G02_Toolbar</x:v>
      </x:c>
      <x:c r="C345" s="24" t="str">
        <x:v>Toolbar_Slicers_FieldParams</x:v>
      </x:c>
      <x:c r="D345" s="24" t="str">
        <x:v>G03_KPI_Row</x:v>
      </x:c>
      <x:c r="E345" s="24" t="str">
        <x:v>KPI_Card_01</x:v>
      </x:c>
      <x:c r="F345" s="25" t="n">
        <x:v>20</x:v>
      </x:c>
      <x:c r="G345" s="25" t="n">
        <x:v>260</x:v>
      </x:c>
      <x:c r="H345" s="25" t="n">
        <x:v>1500</x:v>
      </x:c>
      <x:c r="I345" s="25" t="n">
        <x:v>56</x:v>
      </x:c>
      <x:c r="J345" s="25" t="n">
        <x:f>F345+H345</x:f>
        <x:v>1520</x:v>
      </x:c>
      <x:c r="K345" s="25" t="n">
        <x:f>G345+I345</x:f>
        <x:v>316</x:v>
      </x:c>
      <x:c r="L345" s="25" t="n">
        <x:v>20</x:v>
      </x:c>
      <x:c r="M345" s="25" t="n">
        <x:v>330</x:v>
      </x:c>
      <x:c r="N345" s="25" t="n">
        <x:v>287</x:v>
      </x:c>
      <x:c r="O345" s="25" t="n">
        <x:v>180</x:v>
      </x:c>
      <x:c r="P345" s="25" t="n">
        <x:f>L345+N345</x:f>
        <x:v>307</x:v>
      </x:c>
      <x:c r="Q345" s="25" t="n">
        <x:f>M345+O345</x:f>
        <x:v>510</x:v>
      </x:c>
      <x:c r="R345" s="25" t="n">
        <x:f>MAX(0,MIN(J345,P345)-MAX(F345,L345))</x:f>
        <x:v>287</x:v>
      </x:c>
      <x:c r="S345" s="25" t="n">
        <x:f>MAX(0,MIN(K345,Q345)-MAX(G345,M345))</x:f>
        <x:v>0</x:v>
      </x:c>
      <x:c r="T345" s="25" t="n">
        <x:f>R345*S345</x:f>
        <x:v>0</x:v>
      </x:c>
      <x:c r="U345" s="24" t="str">
        <x:f>IF(T345&gt;0,"ERREUR chevauchement","OK aucun chevauchement")</x:f>
        <x:v>OK aucun chevauchement</x:v>
      </x:c>
      <x:c r="V345" s="24" t="str">
        <x:v>OK aucun chevauchement</x:v>
      </x:c>
      <x:c r="W345" s="24" t="str">
        <x:v>Si ERREUR : déplacer/redimensionner l’objet B ou créer un bookmark/masquage</x:v>
      </x:c>
    </x:row>
    <x:row r="346">
      <x:c r="A346" s="24" t="str">
        <x:v>Rendez-vous</x:v>
      </x:c>
      <x:c r="B346" s="24" t="str">
        <x:v>G02_Toolbar</x:v>
      </x:c>
      <x:c r="C346" s="24" t="str">
        <x:v>Toolbar_Slicers_FieldParams</x:v>
      </x:c>
      <x:c r="D346" s="24" t="str">
        <x:v>G03_KPI_Row</x:v>
      </x:c>
      <x:c r="E346" s="24" t="str">
        <x:v>KPI_Card_02</x:v>
      </x:c>
      <x:c r="F346" s="25" t="n">
        <x:v>20</x:v>
      </x:c>
      <x:c r="G346" s="25" t="n">
        <x:v>260</x:v>
      </x:c>
      <x:c r="H346" s="25" t="n">
        <x:v>1500</x:v>
      </x:c>
      <x:c r="I346" s="25" t="n">
        <x:v>56</x:v>
      </x:c>
      <x:c r="J346" s="25" t="n">
        <x:f>F346+H346</x:f>
        <x:v>1520</x:v>
      </x:c>
      <x:c r="K346" s="25" t="n">
        <x:f>G346+I346</x:f>
        <x:v>316</x:v>
      </x:c>
      <x:c r="L346" s="25" t="n">
        <x:v>323</x:v>
      </x:c>
      <x:c r="M346" s="25" t="n">
        <x:v>330</x:v>
      </x:c>
      <x:c r="N346" s="25" t="n">
        <x:v>287</x:v>
      </x:c>
      <x:c r="O346" s="25" t="n">
        <x:v>180</x:v>
      </x:c>
      <x:c r="P346" s="25" t="n">
        <x:f>L346+N346</x:f>
        <x:v>610</x:v>
      </x:c>
      <x:c r="Q346" s="25" t="n">
        <x:f>M346+O346</x:f>
        <x:v>510</x:v>
      </x:c>
      <x:c r="R346" s="25" t="n">
        <x:f>MAX(0,MIN(J346,P346)-MAX(F346,L346))</x:f>
        <x:v>287</x:v>
      </x:c>
      <x:c r="S346" s="25" t="n">
        <x:f>MAX(0,MIN(K346,Q346)-MAX(G346,M346))</x:f>
        <x:v>0</x:v>
      </x:c>
      <x:c r="T346" s="25" t="n">
        <x:f>R346*S346</x:f>
        <x:v>0</x:v>
      </x:c>
      <x:c r="U346" s="24" t="str">
        <x:f>IF(T346&gt;0,"ERREUR chevauchement","OK aucun chevauchement")</x:f>
        <x:v>OK aucun chevauchement</x:v>
      </x:c>
      <x:c r="V346" s="24" t="str">
        <x:v>OK aucun chevauchement</x:v>
      </x:c>
      <x:c r="W346" s="24" t="str">
        <x:v>Si ERREUR : déplacer/redimensionner l’objet B ou créer un bookmark/masquage</x:v>
      </x:c>
    </x:row>
    <x:row r="347">
      <x:c r="A347" s="24" t="str">
        <x:v>Rendez-vous</x:v>
      </x:c>
      <x:c r="B347" s="24" t="str">
        <x:v>G02_Toolbar</x:v>
      </x:c>
      <x:c r="C347" s="24" t="str">
        <x:v>Toolbar_Slicers_FieldParams</x:v>
      </x:c>
      <x:c r="D347" s="24" t="str">
        <x:v>G03_KPI_Row</x:v>
      </x:c>
      <x:c r="E347" s="24" t="str">
        <x:v>KPI_Card_03</x:v>
      </x:c>
      <x:c r="F347" s="25" t="n">
        <x:v>20</x:v>
      </x:c>
      <x:c r="G347" s="25" t="n">
        <x:v>260</x:v>
      </x:c>
      <x:c r="H347" s="25" t="n">
        <x:v>1500</x:v>
      </x:c>
      <x:c r="I347" s="25" t="n">
        <x:v>56</x:v>
      </x:c>
      <x:c r="J347" s="25" t="n">
        <x:f>F347+H347</x:f>
        <x:v>1520</x:v>
      </x:c>
      <x:c r="K347" s="25" t="n">
        <x:f>G347+I347</x:f>
        <x:v>316</x:v>
      </x:c>
      <x:c r="L347" s="25" t="n">
        <x:v>626</x:v>
      </x:c>
      <x:c r="M347" s="25" t="n">
        <x:v>330</x:v>
      </x:c>
      <x:c r="N347" s="25" t="n">
        <x:v>287</x:v>
      </x:c>
      <x:c r="O347" s="25" t="n">
        <x:v>180</x:v>
      </x:c>
      <x:c r="P347" s="25" t="n">
        <x:f>L347+N347</x:f>
        <x:v>913</x:v>
      </x:c>
      <x:c r="Q347" s="25" t="n">
        <x:f>M347+O347</x:f>
        <x:v>510</x:v>
      </x:c>
      <x:c r="R347" s="25" t="n">
        <x:f>MAX(0,MIN(J347,P347)-MAX(F347,L347))</x:f>
        <x:v>287</x:v>
      </x:c>
      <x:c r="S347" s="25" t="n">
        <x:f>MAX(0,MIN(K347,Q347)-MAX(G347,M347))</x:f>
        <x:v>0</x:v>
      </x:c>
      <x:c r="T347" s="25" t="n">
        <x:f>R347*S347</x:f>
        <x:v>0</x:v>
      </x:c>
      <x:c r="U347" s="24" t="str">
        <x:f>IF(T347&gt;0,"ERREUR chevauchement","OK aucun chevauchement")</x:f>
        <x:v>OK aucun chevauchement</x:v>
      </x:c>
      <x:c r="V347" s="24" t="str">
        <x:v>OK aucun chevauchement</x:v>
      </x:c>
      <x:c r="W347" s="24" t="str">
        <x:v>Si ERREUR : déplacer/redimensionner l’objet B ou créer un bookmark/masquage</x:v>
      </x:c>
    </x:row>
    <x:row r="348">
      <x:c r="A348" s="24" t="str">
        <x:v>Rendez-vous</x:v>
      </x:c>
      <x:c r="B348" s="24" t="str">
        <x:v>G02_Toolbar</x:v>
      </x:c>
      <x:c r="C348" s="24" t="str">
        <x:v>Toolbar_Slicers_FieldParams</x:v>
      </x:c>
      <x:c r="D348" s="24" t="str">
        <x:v>G03_KPI_Row</x:v>
      </x:c>
      <x:c r="E348" s="24" t="str">
        <x:v>KPI_Card_04</x:v>
      </x:c>
      <x:c r="F348" s="25" t="n">
        <x:v>20</x:v>
      </x:c>
      <x:c r="G348" s="25" t="n">
        <x:v>260</x:v>
      </x:c>
      <x:c r="H348" s="25" t="n">
        <x:v>1500</x:v>
      </x:c>
      <x:c r="I348" s="25" t="n">
        <x:v>56</x:v>
      </x:c>
      <x:c r="J348" s="25" t="n">
        <x:f>F348+H348</x:f>
        <x:v>1520</x:v>
      </x:c>
      <x:c r="K348" s="25" t="n">
        <x:f>G348+I348</x:f>
        <x:v>316</x:v>
      </x:c>
      <x:c r="L348" s="25" t="n">
        <x:v>929</x:v>
      </x:c>
      <x:c r="M348" s="25" t="n">
        <x:v>330</x:v>
      </x:c>
      <x:c r="N348" s="25" t="n">
        <x:v>287</x:v>
      </x:c>
      <x:c r="O348" s="25" t="n">
        <x:v>180</x:v>
      </x:c>
      <x:c r="P348" s="25" t="n">
        <x:f>L348+N348</x:f>
        <x:v>1216</x:v>
      </x:c>
      <x:c r="Q348" s="25" t="n">
        <x:f>M348+O348</x:f>
        <x:v>510</x:v>
      </x:c>
      <x:c r="R348" s="25" t="n">
        <x:f>MAX(0,MIN(J348,P348)-MAX(F348,L348))</x:f>
        <x:v>287</x:v>
      </x:c>
      <x:c r="S348" s="25" t="n">
        <x:f>MAX(0,MIN(K348,Q348)-MAX(G348,M348))</x:f>
        <x:v>0</x:v>
      </x:c>
      <x:c r="T348" s="25" t="n">
        <x:f>R348*S348</x:f>
        <x:v>0</x:v>
      </x:c>
      <x:c r="U348" s="24" t="str">
        <x:f>IF(T348&gt;0,"ERREUR chevauchement","OK aucun chevauchement")</x:f>
        <x:v>OK aucun chevauchement</x:v>
      </x:c>
      <x:c r="V348" s="24" t="str">
        <x:v>OK aucun chevauchement</x:v>
      </x:c>
      <x:c r="W348" s="24" t="str">
        <x:v>Si ERREUR : déplacer/redimensionner l’objet B ou créer un bookmark/masquage</x:v>
      </x:c>
    </x:row>
    <x:row r="349">
      <x:c r="A349" s="24" t="str">
        <x:v>Rendez-vous</x:v>
      </x:c>
      <x:c r="B349" s="24" t="str">
        <x:v>G02_Toolbar</x:v>
      </x:c>
      <x:c r="C349" s="24" t="str">
        <x:v>Toolbar_Slicers_FieldParams</x:v>
      </x:c>
      <x:c r="D349" s="24" t="str">
        <x:v>G03_KPI_Row</x:v>
      </x:c>
      <x:c r="E349" s="24" t="str">
        <x:v>KPI_Card_05</x:v>
      </x:c>
      <x:c r="F349" s="25" t="n">
        <x:v>20</x:v>
      </x:c>
      <x:c r="G349" s="25" t="n">
        <x:v>260</x:v>
      </x:c>
      <x:c r="H349" s="25" t="n">
        <x:v>1500</x:v>
      </x:c>
      <x:c r="I349" s="25" t="n">
        <x:v>56</x:v>
      </x:c>
      <x:c r="J349" s="25" t="n">
        <x:f>F349+H349</x:f>
        <x:v>1520</x:v>
      </x:c>
      <x:c r="K349" s="25" t="n">
        <x:f>G349+I349</x:f>
        <x:v>316</x:v>
      </x:c>
      <x:c r="L349" s="25" t="n">
        <x:v>1232</x:v>
      </x:c>
      <x:c r="M349" s="25" t="n">
        <x:v>330</x:v>
      </x:c>
      <x:c r="N349" s="25" t="n">
        <x:v>287</x:v>
      </x:c>
      <x:c r="O349" s="25" t="n">
        <x:v>180</x:v>
      </x:c>
      <x:c r="P349" s="25" t="n">
        <x:f>L349+N349</x:f>
        <x:v>1519</x:v>
      </x:c>
      <x:c r="Q349" s="25" t="n">
        <x:f>M349+O349</x:f>
        <x:v>510</x:v>
      </x:c>
      <x:c r="R349" s="25" t="n">
        <x:f>MAX(0,MIN(J349,P349)-MAX(F349,L349))</x:f>
        <x:v>287</x:v>
      </x:c>
      <x:c r="S349" s="25" t="n">
        <x:f>MAX(0,MIN(K349,Q349)-MAX(G349,M349))</x:f>
        <x:v>0</x:v>
      </x:c>
      <x:c r="T349" s="25" t="n">
        <x:f>R349*S349</x:f>
        <x:v>0</x:v>
      </x:c>
      <x:c r="U349" s="24" t="str">
        <x:f>IF(T349&gt;0,"ERREUR chevauchement","OK aucun chevauchement")</x:f>
        <x:v>OK aucun chevauchement</x:v>
      </x:c>
      <x:c r="V349" s="24" t="str">
        <x:v>OK aucun chevauchement</x:v>
      </x:c>
      <x:c r="W349" s="24" t="str">
        <x:v>Si ERREUR : déplacer/redimensionner l’objet B ou créer un bookmark/masquage</x:v>
      </x:c>
    </x:row>
    <x:row r="350">
      <x:c r="A350" s="24" t="str">
        <x:v>Rendez-vous</x:v>
      </x:c>
      <x:c r="B350" s="24" t="str">
        <x:v>G02_Toolbar</x:v>
      </x:c>
      <x:c r="C350" s="24" t="str">
        <x:v>Toolbar_Slicers_FieldParams</x:v>
      </x:c>
      <x:c r="D350" s="24" t="str">
        <x:v>G04_Charts</x:v>
      </x:c>
      <x:c r="E350" s="24" t="str">
        <x:v>Bar_Repartition_RDV</x:v>
      </x:c>
      <x:c r="F350" s="25" t="n">
        <x:v>20</x:v>
      </x:c>
      <x:c r="G350" s="25" t="n">
        <x:v>260</x:v>
      </x:c>
      <x:c r="H350" s="25" t="n">
        <x:v>1500</x:v>
      </x:c>
      <x:c r="I350" s="25" t="n">
        <x:v>56</x:v>
      </x:c>
      <x:c r="J350" s="25" t="n">
        <x:f>F350+H350</x:f>
        <x:v>1520</x:v>
      </x:c>
      <x:c r="K350" s="25" t="n">
        <x:f>G350+I350</x:f>
        <x:v>316</x:v>
      </x:c>
      <x:c r="L350" s="25" t="n">
        <x:v>20</x:v>
      </x:c>
      <x:c r="M350" s="25" t="n">
        <x:v>535</x:v>
      </x:c>
      <x:c r="N350" s="25" t="n">
        <x:v>490</x:v>
      </x:c>
      <x:c r="O350" s="25" t="n">
        <x:v>320</x:v>
      </x:c>
      <x:c r="P350" s="25" t="n">
        <x:f>L350+N350</x:f>
        <x:v>510</x:v>
      </x:c>
      <x:c r="Q350" s="25" t="n">
        <x:f>M350+O350</x:f>
        <x:v>855</x:v>
      </x:c>
      <x:c r="R350" s="25" t="n">
        <x:f>MAX(0,MIN(J350,P350)-MAX(F350,L350))</x:f>
        <x:v>490</x:v>
      </x:c>
      <x:c r="S350" s="25" t="n">
        <x:f>MAX(0,MIN(K350,Q350)-MAX(G350,M350))</x:f>
        <x:v>0</x:v>
      </x:c>
      <x:c r="T350" s="25" t="n">
        <x:f>R350*S350</x:f>
        <x:v>0</x:v>
      </x:c>
      <x:c r="U350" s="24" t="str">
        <x:f>IF(T350&gt;0,"ERREUR chevauchement","OK aucun chevauchement")</x:f>
        <x:v>OK aucun chevauchement</x:v>
      </x:c>
      <x:c r="V350" s="24" t="str">
        <x:v>OK aucun chevauchement</x:v>
      </x:c>
      <x:c r="W350" s="24" t="str">
        <x:v>Si ERREUR : déplacer/redimensionner l’objet B ou créer un bookmark/masquage</x:v>
      </x:c>
    </x:row>
    <x:row r="351">
      <x:c r="A351" s="24" t="str">
        <x:v>Rendez-vous</x:v>
      </x:c>
      <x:c r="B351" s="24" t="str">
        <x:v>G02_Toolbar</x:v>
      </x:c>
      <x:c r="C351" s="24" t="str">
        <x:v>Toolbar_Slicers_FieldParams</x:v>
      </x:c>
      <x:c r="D351" s="24" t="str">
        <x:v>G04_Charts</x:v>
      </x:c>
      <x:c r="E351" s="24" t="str">
        <x:v>Line_RDV_Prevus_Realises</x:v>
      </x:c>
      <x:c r="F351" s="25" t="n">
        <x:v>20</x:v>
      </x:c>
      <x:c r="G351" s="25" t="n">
        <x:v>260</x:v>
      </x:c>
      <x:c r="H351" s="25" t="n">
        <x:v>1500</x:v>
      </x:c>
      <x:c r="I351" s="25" t="n">
        <x:v>56</x:v>
      </x:c>
      <x:c r="J351" s="25" t="n">
        <x:f>F351+H351</x:f>
        <x:v>1520</x:v>
      </x:c>
      <x:c r="K351" s="25" t="n">
        <x:f>G351+I351</x:f>
        <x:v>316</x:v>
      </x:c>
      <x:c r="L351" s="25" t="n">
        <x:v>526</x:v>
      </x:c>
      <x:c r="M351" s="25" t="n">
        <x:v>535</x:v>
      </x:c>
      <x:c r="N351" s="25" t="n">
        <x:v>994</x:v>
      </x:c>
      <x:c r="O351" s="25" t="n">
        <x:v>320</x:v>
      </x:c>
      <x:c r="P351" s="25" t="n">
        <x:f>L351+N351</x:f>
        <x:v>1520</x:v>
      </x:c>
      <x:c r="Q351" s="25" t="n">
        <x:f>M351+O351</x:f>
        <x:v>855</x:v>
      </x:c>
      <x:c r="R351" s="25" t="n">
        <x:f>MAX(0,MIN(J351,P351)-MAX(F351,L351))</x:f>
        <x:v>994</x:v>
      </x:c>
      <x:c r="S351" s="25" t="n">
        <x:f>MAX(0,MIN(K351,Q351)-MAX(G351,M351))</x:f>
        <x:v>0</x:v>
      </x:c>
      <x:c r="T351" s="25" t="n">
        <x:f>R351*S351</x:f>
        <x:v>0</x:v>
      </x:c>
      <x:c r="U351" s="24" t="str">
        <x:f>IF(T351&gt;0,"ERREUR chevauchement","OK aucun chevauchement")</x:f>
        <x:v>OK aucun chevauchement</x:v>
      </x:c>
      <x:c r="V351" s="24" t="str">
        <x:v>OK aucun chevauchement</x:v>
      </x:c>
      <x:c r="W351" s="24" t="str">
        <x:v>Si ERREUR : déplacer/redimensionner l’objet B ou créer un bookmark/masquage</x:v>
      </x:c>
    </x:row>
    <x:row r="352">
      <x:c r="A352" s="24" t="str">
        <x:v>Rendez-vous</x:v>
      </x:c>
      <x:c r="B352" s="24" t="str">
        <x:v>G02_Toolbar</x:v>
      </x:c>
      <x:c r="C352" s="24" t="str">
        <x:v>Toolbar_Slicers_FieldParams</x:v>
      </x:c>
      <x:c r="D352" s="24" t="str">
        <x:v>G05_Table</x:v>
      </x:c>
      <x:c r="E352" s="24" t="str">
        <x:v>Table_Detail_RDV</x:v>
      </x:c>
      <x:c r="F352" s="25" t="n">
        <x:v>20</x:v>
      </x:c>
      <x:c r="G352" s="25" t="n">
        <x:v>260</x:v>
      </x:c>
      <x:c r="H352" s="25" t="n">
        <x:v>1500</x:v>
      </x:c>
      <x:c r="I352" s="25" t="n">
        <x:v>56</x:v>
      </x:c>
      <x:c r="J352" s="25" t="n">
        <x:f>F352+H352</x:f>
        <x:v>1520</x:v>
      </x:c>
      <x:c r="K352" s="25" t="n">
        <x:f>G352+I352</x:f>
        <x:v>316</x:v>
      </x:c>
      <x:c r="L352" s="25" t="n">
        <x:v>20</x:v>
      </x:c>
      <x:c r="M352" s="25" t="n">
        <x:v>875</x:v>
      </x:c>
      <x:c r="N352" s="25" t="n">
        <x:v>1500</x:v>
      </x:c>
      <x:c r="O352" s="25" t="n">
        <x:v>360</x:v>
      </x:c>
      <x:c r="P352" s="25" t="n">
        <x:f>L352+N352</x:f>
        <x:v>1520</x:v>
      </x:c>
      <x:c r="Q352" s="25" t="n">
        <x:f>M352+O352</x:f>
        <x:v>1235</x:v>
      </x:c>
      <x:c r="R352" s="25" t="n">
        <x:f>MAX(0,MIN(J352,P352)-MAX(F352,L352))</x:f>
        <x:v>1500</x:v>
      </x:c>
      <x:c r="S352" s="25" t="n">
        <x:f>MAX(0,MIN(K352,Q352)-MAX(G352,M352))</x:f>
        <x:v>0</x:v>
      </x:c>
      <x:c r="T352" s="25" t="n">
        <x:f>R352*S352</x:f>
        <x:v>0</x:v>
      </x:c>
      <x:c r="U352" s="24" t="str">
        <x:f>IF(T352&gt;0,"ERREUR chevauchement","OK aucun chevauchement")</x:f>
        <x:v>OK aucun chevauchement</x:v>
      </x:c>
      <x:c r="V352" s="24" t="str">
        <x:v>OK aucun chevauchement</x:v>
      </x:c>
      <x:c r="W352" s="24" t="str">
        <x:v>Si ERREUR : déplacer/redimensionner l’objet B ou créer un bookmark/masquage</x:v>
      </x:c>
    </x:row>
    <x:row r="353">
      <x:c r="A353" s="24" t="str">
        <x:v>Rendez-vous</x:v>
      </x:c>
      <x:c r="B353" s="24" t="str">
        <x:v>G03_KPI_Row</x:v>
      </x:c>
      <x:c r="C353" s="24" t="str">
        <x:v>KPI_Card_01</x:v>
      </x:c>
      <x:c r="D353" s="24" t="str">
        <x:v>G03_KPI_Row</x:v>
      </x:c>
      <x:c r="E353" s="24" t="str">
        <x:v>KPI_Card_02</x:v>
      </x:c>
      <x:c r="F353" s="25" t="n">
        <x:v>20</x:v>
      </x:c>
      <x:c r="G353" s="25" t="n">
        <x:v>330</x:v>
      </x:c>
      <x:c r="H353" s="25" t="n">
        <x:v>287</x:v>
      </x:c>
      <x:c r="I353" s="25" t="n">
        <x:v>180</x:v>
      </x:c>
      <x:c r="J353" s="25" t="n">
        <x:f>F353+H353</x:f>
        <x:v>307</x:v>
      </x:c>
      <x:c r="K353" s="25" t="n">
        <x:f>G353+I353</x:f>
        <x:v>510</x:v>
      </x:c>
      <x:c r="L353" s="25" t="n">
        <x:v>323</x:v>
      </x:c>
      <x:c r="M353" s="25" t="n">
        <x:v>330</x:v>
      </x:c>
      <x:c r="N353" s="25" t="n">
        <x:v>287</x:v>
      </x:c>
      <x:c r="O353" s="25" t="n">
        <x:v>180</x:v>
      </x:c>
      <x:c r="P353" s="25" t="n">
        <x:f>L353+N353</x:f>
        <x:v>610</x:v>
      </x:c>
      <x:c r="Q353" s="25" t="n">
        <x:f>M353+O353</x:f>
        <x:v>510</x:v>
      </x:c>
      <x:c r="R353" s="25" t="n">
        <x:f>MAX(0,MIN(J353,P353)-MAX(F353,L353))</x:f>
        <x:v>0</x:v>
      </x:c>
      <x:c r="S353" s="25" t="n">
        <x:f>MAX(0,MIN(K353,Q353)-MAX(G353,M353))</x:f>
        <x:v>180</x:v>
      </x:c>
      <x:c r="T353" s="25" t="n">
        <x:f>R353*S353</x:f>
        <x:v>0</x:v>
      </x:c>
      <x:c r="U353" s="24" t="str">
        <x:f>IF(T353&gt;0,"ERREUR chevauchement","OK aucun chevauchement")</x:f>
        <x:v>OK aucun chevauchement</x:v>
      </x:c>
      <x:c r="V353" s="24" t="str">
        <x:v>OK aucun chevauchement</x:v>
      </x:c>
      <x:c r="W353" s="24" t="str">
        <x:v>Si ERREUR : déplacer/redimensionner l’objet B ou créer un bookmark/masquage</x:v>
      </x:c>
    </x:row>
    <x:row r="354">
      <x:c r="A354" s="24" t="str">
        <x:v>Rendez-vous</x:v>
      </x:c>
      <x:c r="B354" s="24" t="str">
        <x:v>G03_KPI_Row</x:v>
      </x:c>
      <x:c r="C354" s="24" t="str">
        <x:v>KPI_Card_01</x:v>
      </x:c>
      <x:c r="D354" s="24" t="str">
        <x:v>G03_KPI_Row</x:v>
      </x:c>
      <x:c r="E354" s="24" t="str">
        <x:v>KPI_Card_03</x:v>
      </x:c>
      <x:c r="F354" s="25" t="n">
        <x:v>20</x:v>
      </x:c>
      <x:c r="G354" s="25" t="n">
        <x:v>330</x:v>
      </x:c>
      <x:c r="H354" s="25" t="n">
        <x:v>287</x:v>
      </x:c>
      <x:c r="I354" s="25" t="n">
        <x:v>180</x:v>
      </x:c>
      <x:c r="J354" s="25" t="n">
        <x:f>F354+H354</x:f>
        <x:v>307</x:v>
      </x:c>
      <x:c r="K354" s="25" t="n">
        <x:f>G354+I354</x:f>
        <x:v>510</x:v>
      </x:c>
      <x:c r="L354" s="25" t="n">
        <x:v>626</x:v>
      </x:c>
      <x:c r="M354" s="25" t="n">
        <x:v>330</x:v>
      </x:c>
      <x:c r="N354" s="25" t="n">
        <x:v>287</x:v>
      </x:c>
      <x:c r="O354" s="25" t="n">
        <x:v>180</x:v>
      </x:c>
      <x:c r="P354" s="25" t="n">
        <x:f>L354+N354</x:f>
        <x:v>913</x:v>
      </x:c>
      <x:c r="Q354" s="25" t="n">
        <x:f>M354+O354</x:f>
        <x:v>510</x:v>
      </x:c>
      <x:c r="R354" s="25" t="n">
        <x:f>MAX(0,MIN(J354,P354)-MAX(F354,L354))</x:f>
        <x:v>0</x:v>
      </x:c>
      <x:c r="S354" s="25" t="n">
        <x:f>MAX(0,MIN(K354,Q354)-MAX(G354,M354))</x:f>
        <x:v>180</x:v>
      </x:c>
      <x:c r="T354" s="25" t="n">
        <x:f>R354*S354</x:f>
        <x:v>0</x:v>
      </x:c>
      <x:c r="U354" s="24" t="str">
        <x:f>IF(T354&gt;0,"ERREUR chevauchement","OK aucun chevauchement")</x:f>
        <x:v>OK aucun chevauchement</x:v>
      </x:c>
      <x:c r="V354" s="24" t="str">
        <x:v>OK aucun chevauchement</x:v>
      </x:c>
      <x:c r="W354" s="24" t="str">
        <x:v>Si ERREUR : déplacer/redimensionner l’objet B ou créer un bookmark/masquage</x:v>
      </x:c>
    </x:row>
    <x:row r="355">
      <x:c r="A355" s="24" t="str">
        <x:v>Rendez-vous</x:v>
      </x:c>
      <x:c r="B355" s="24" t="str">
        <x:v>G03_KPI_Row</x:v>
      </x:c>
      <x:c r="C355" s="24" t="str">
        <x:v>KPI_Card_01</x:v>
      </x:c>
      <x:c r="D355" s="24" t="str">
        <x:v>G03_KPI_Row</x:v>
      </x:c>
      <x:c r="E355" s="24" t="str">
        <x:v>KPI_Card_04</x:v>
      </x:c>
      <x:c r="F355" s="25" t="n">
        <x:v>20</x:v>
      </x:c>
      <x:c r="G355" s="25" t="n">
        <x:v>330</x:v>
      </x:c>
      <x:c r="H355" s="25" t="n">
        <x:v>287</x:v>
      </x:c>
      <x:c r="I355" s="25" t="n">
        <x:v>180</x:v>
      </x:c>
      <x:c r="J355" s="25" t="n">
        <x:f>F355+H355</x:f>
        <x:v>307</x:v>
      </x:c>
      <x:c r="K355" s="25" t="n">
        <x:f>G355+I355</x:f>
        <x:v>510</x:v>
      </x:c>
      <x:c r="L355" s="25" t="n">
        <x:v>929</x:v>
      </x:c>
      <x:c r="M355" s="25" t="n">
        <x:v>330</x:v>
      </x:c>
      <x:c r="N355" s="25" t="n">
        <x:v>287</x:v>
      </x:c>
      <x:c r="O355" s="25" t="n">
        <x:v>180</x:v>
      </x:c>
      <x:c r="P355" s="25" t="n">
        <x:f>L355+N355</x:f>
        <x:v>1216</x:v>
      </x:c>
      <x:c r="Q355" s="25" t="n">
        <x:f>M355+O355</x:f>
        <x:v>510</x:v>
      </x:c>
      <x:c r="R355" s="25" t="n">
        <x:f>MAX(0,MIN(J355,P355)-MAX(F355,L355))</x:f>
        <x:v>0</x:v>
      </x:c>
      <x:c r="S355" s="25" t="n">
        <x:f>MAX(0,MIN(K355,Q355)-MAX(G355,M355))</x:f>
        <x:v>180</x:v>
      </x:c>
      <x:c r="T355" s="25" t="n">
        <x:f>R355*S355</x:f>
        <x:v>0</x:v>
      </x:c>
      <x:c r="U355" s="24" t="str">
        <x:f>IF(T355&gt;0,"ERREUR chevauchement","OK aucun chevauchement")</x:f>
        <x:v>OK aucun chevauchement</x:v>
      </x:c>
      <x:c r="V355" s="24" t="str">
        <x:v>OK aucun chevauchement</x:v>
      </x:c>
      <x:c r="W355" s="24" t="str">
        <x:v>Si ERREUR : déplacer/redimensionner l’objet B ou créer un bookmark/masquage</x:v>
      </x:c>
    </x:row>
    <x:row r="356">
      <x:c r="A356" s="24" t="str">
        <x:v>Rendez-vous</x:v>
      </x:c>
      <x:c r="B356" s="24" t="str">
        <x:v>G03_KPI_Row</x:v>
      </x:c>
      <x:c r="C356" s="24" t="str">
        <x:v>KPI_Card_01</x:v>
      </x:c>
      <x:c r="D356" s="24" t="str">
        <x:v>G03_KPI_Row</x:v>
      </x:c>
      <x:c r="E356" s="24" t="str">
        <x:v>KPI_Card_05</x:v>
      </x:c>
      <x:c r="F356" s="25" t="n">
        <x:v>20</x:v>
      </x:c>
      <x:c r="G356" s="25" t="n">
        <x:v>330</x:v>
      </x:c>
      <x:c r="H356" s="25" t="n">
        <x:v>287</x:v>
      </x:c>
      <x:c r="I356" s="25" t="n">
        <x:v>180</x:v>
      </x:c>
      <x:c r="J356" s="25" t="n">
        <x:f>F356+H356</x:f>
        <x:v>307</x:v>
      </x:c>
      <x:c r="K356" s="25" t="n">
        <x:f>G356+I356</x:f>
        <x:v>510</x:v>
      </x:c>
      <x:c r="L356" s="25" t="n">
        <x:v>1232</x:v>
      </x:c>
      <x:c r="M356" s="25" t="n">
        <x:v>330</x:v>
      </x:c>
      <x:c r="N356" s="25" t="n">
        <x:v>287</x:v>
      </x:c>
      <x:c r="O356" s="25" t="n">
        <x:v>180</x:v>
      </x:c>
      <x:c r="P356" s="25" t="n">
        <x:f>L356+N356</x:f>
        <x:v>1519</x:v>
      </x:c>
      <x:c r="Q356" s="25" t="n">
        <x:f>M356+O356</x:f>
        <x:v>510</x:v>
      </x:c>
      <x:c r="R356" s="25" t="n">
        <x:f>MAX(0,MIN(J356,P356)-MAX(F356,L356))</x:f>
        <x:v>0</x:v>
      </x:c>
      <x:c r="S356" s="25" t="n">
        <x:f>MAX(0,MIN(K356,Q356)-MAX(G356,M356))</x:f>
        <x:v>180</x:v>
      </x:c>
      <x:c r="T356" s="25" t="n">
        <x:f>R356*S356</x:f>
        <x:v>0</x:v>
      </x:c>
      <x:c r="U356" s="24" t="str">
        <x:f>IF(T356&gt;0,"ERREUR chevauchement","OK aucun chevauchement")</x:f>
        <x:v>OK aucun chevauchement</x:v>
      </x:c>
      <x:c r="V356" s="24" t="str">
        <x:v>OK aucun chevauchement</x:v>
      </x:c>
      <x:c r="W356" s="24" t="str">
        <x:v>Si ERREUR : déplacer/redimensionner l’objet B ou créer un bookmark/masquage</x:v>
      </x:c>
    </x:row>
    <x:row r="357">
      <x:c r="A357" s="24" t="str">
        <x:v>Rendez-vous</x:v>
      </x:c>
      <x:c r="B357" s="24" t="str">
        <x:v>G03_KPI_Row</x:v>
      </x:c>
      <x:c r="C357" s="24" t="str">
        <x:v>KPI_Card_01</x:v>
      </x:c>
      <x:c r="D357" s="24" t="str">
        <x:v>G04_Charts</x:v>
      </x:c>
      <x:c r="E357" s="24" t="str">
        <x:v>Bar_Repartition_RDV</x:v>
      </x:c>
      <x:c r="F357" s="25" t="n">
        <x:v>20</x:v>
      </x:c>
      <x:c r="G357" s="25" t="n">
        <x:v>330</x:v>
      </x:c>
      <x:c r="H357" s="25" t="n">
        <x:v>287</x:v>
      </x:c>
      <x:c r="I357" s="25" t="n">
        <x:v>180</x:v>
      </x:c>
      <x:c r="J357" s="25" t="n">
        <x:f>F357+H357</x:f>
        <x:v>307</x:v>
      </x:c>
      <x:c r="K357" s="25" t="n">
        <x:f>G357+I357</x:f>
        <x:v>510</x:v>
      </x:c>
      <x:c r="L357" s="25" t="n">
        <x:v>20</x:v>
      </x:c>
      <x:c r="M357" s="25" t="n">
        <x:v>535</x:v>
      </x:c>
      <x:c r="N357" s="25" t="n">
        <x:v>490</x:v>
      </x:c>
      <x:c r="O357" s="25" t="n">
        <x:v>320</x:v>
      </x:c>
      <x:c r="P357" s="25" t="n">
        <x:f>L357+N357</x:f>
        <x:v>510</x:v>
      </x:c>
      <x:c r="Q357" s="25" t="n">
        <x:f>M357+O357</x:f>
        <x:v>855</x:v>
      </x:c>
      <x:c r="R357" s="25" t="n">
        <x:f>MAX(0,MIN(J357,P357)-MAX(F357,L357))</x:f>
        <x:v>287</x:v>
      </x:c>
      <x:c r="S357" s="25" t="n">
        <x:f>MAX(0,MIN(K357,Q357)-MAX(G357,M357))</x:f>
        <x:v>0</x:v>
      </x:c>
      <x:c r="T357" s="25" t="n">
        <x:f>R357*S357</x:f>
        <x:v>0</x:v>
      </x:c>
      <x:c r="U357" s="24" t="str">
        <x:f>IF(T357&gt;0,"ERREUR chevauchement","OK aucun chevauchement")</x:f>
        <x:v>OK aucun chevauchement</x:v>
      </x:c>
      <x:c r="V357" s="24" t="str">
        <x:v>OK aucun chevauchement</x:v>
      </x:c>
      <x:c r="W357" s="24" t="str">
        <x:v>Si ERREUR : déplacer/redimensionner l’objet B ou créer un bookmark/masquage</x:v>
      </x:c>
    </x:row>
    <x:row r="358">
      <x:c r="A358" s="24" t="str">
        <x:v>Rendez-vous</x:v>
      </x:c>
      <x:c r="B358" s="24" t="str">
        <x:v>G03_KPI_Row</x:v>
      </x:c>
      <x:c r="C358" s="24" t="str">
        <x:v>KPI_Card_01</x:v>
      </x:c>
      <x:c r="D358" s="24" t="str">
        <x:v>G04_Charts</x:v>
      </x:c>
      <x:c r="E358" s="24" t="str">
        <x:v>Line_RDV_Prevus_Realises</x:v>
      </x:c>
      <x:c r="F358" s="25" t="n">
        <x:v>20</x:v>
      </x:c>
      <x:c r="G358" s="25" t="n">
        <x:v>330</x:v>
      </x:c>
      <x:c r="H358" s="25" t="n">
        <x:v>287</x:v>
      </x:c>
      <x:c r="I358" s="25" t="n">
        <x:v>180</x:v>
      </x:c>
      <x:c r="J358" s="25" t="n">
        <x:f>F358+H358</x:f>
        <x:v>307</x:v>
      </x:c>
      <x:c r="K358" s="25" t="n">
        <x:f>G358+I358</x:f>
        <x:v>510</x:v>
      </x:c>
      <x:c r="L358" s="25" t="n">
        <x:v>526</x:v>
      </x:c>
      <x:c r="M358" s="25" t="n">
        <x:v>535</x:v>
      </x:c>
      <x:c r="N358" s="25" t="n">
        <x:v>994</x:v>
      </x:c>
      <x:c r="O358" s="25" t="n">
        <x:v>320</x:v>
      </x:c>
      <x:c r="P358" s="25" t="n">
        <x:f>L358+N358</x:f>
        <x:v>1520</x:v>
      </x:c>
      <x:c r="Q358" s="25" t="n">
        <x:f>M358+O358</x:f>
        <x:v>855</x:v>
      </x:c>
      <x:c r="R358" s="25" t="n">
        <x:f>MAX(0,MIN(J358,P358)-MAX(F358,L358))</x:f>
        <x:v>0</x:v>
      </x:c>
      <x:c r="S358" s="25" t="n">
        <x:f>MAX(0,MIN(K358,Q358)-MAX(G358,M358))</x:f>
        <x:v>0</x:v>
      </x:c>
      <x:c r="T358" s="25" t="n">
        <x:f>R358*S358</x:f>
        <x:v>0</x:v>
      </x:c>
      <x:c r="U358" s="24" t="str">
        <x:f>IF(T358&gt;0,"ERREUR chevauchement","OK aucun chevauchement")</x:f>
        <x:v>OK aucun chevauchement</x:v>
      </x:c>
      <x:c r="V358" s="24" t="str">
        <x:v>OK aucun chevauchement</x:v>
      </x:c>
      <x:c r="W358" s="24" t="str">
        <x:v>Si ERREUR : déplacer/redimensionner l’objet B ou créer un bookmark/masquage</x:v>
      </x:c>
    </x:row>
    <x:row r="359">
      <x:c r="A359" s="24" t="str">
        <x:v>Rendez-vous</x:v>
      </x:c>
      <x:c r="B359" s="24" t="str">
        <x:v>G03_KPI_Row</x:v>
      </x:c>
      <x:c r="C359" s="24" t="str">
        <x:v>KPI_Card_01</x:v>
      </x:c>
      <x:c r="D359" s="24" t="str">
        <x:v>G05_Table</x:v>
      </x:c>
      <x:c r="E359" s="24" t="str">
        <x:v>Table_Detail_RDV</x:v>
      </x:c>
      <x:c r="F359" s="25" t="n">
        <x:v>20</x:v>
      </x:c>
      <x:c r="G359" s="25" t="n">
        <x:v>330</x:v>
      </x:c>
      <x:c r="H359" s="25" t="n">
        <x:v>287</x:v>
      </x:c>
      <x:c r="I359" s="25" t="n">
        <x:v>180</x:v>
      </x:c>
      <x:c r="J359" s="25" t="n">
        <x:f>F359+H359</x:f>
        <x:v>307</x:v>
      </x:c>
      <x:c r="K359" s="25" t="n">
        <x:f>G359+I359</x:f>
        <x:v>510</x:v>
      </x:c>
      <x:c r="L359" s="25" t="n">
        <x:v>20</x:v>
      </x:c>
      <x:c r="M359" s="25" t="n">
        <x:v>875</x:v>
      </x:c>
      <x:c r="N359" s="25" t="n">
        <x:v>1500</x:v>
      </x:c>
      <x:c r="O359" s="25" t="n">
        <x:v>360</x:v>
      </x:c>
      <x:c r="P359" s="25" t="n">
        <x:f>L359+N359</x:f>
        <x:v>1520</x:v>
      </x:c>
      <x:c r="Q359" s="25" t="n">
        <x:f>M359+O359</x:f>
        <x:v>1235</x:v>
      </x:c>
      <x:c r="R359" s="25" t="n">
        <x:f>MAX(0,MIN(J359,P359)-MAX(F359,L359))</x:f>
        <x:v>287</x:v>
      </x:c>
      <x:c r="S359" s="25" t="n">
        <x:f>MAX(0,MIN(K359,Q359)-MAX(G359,M359))</x:f>
        <x:v>0</x:v>
      </x:c>
      <x:c r="T359" s="25" t="n">
        <x:f>R359*S359</x:f>
        <x:v>0</x:v>
      </x:c>
      <x:c r="U359" s="24" t="str">
        <x:f>IF(T359&gt;0,"ERREUR chevauchement","OK aucun chevauchement")</x:f>
        <x:v>OK aucun chevauchement</x:v>
      </x:c>
      <x:c r="V359" s="24" t="str">
        <x:v>OK aucun chevauchement</x:v>
      </x:c>
      <x:c r="W359" s="24" t="str">
        <x:v>Si ERREUR : déplacer/redimensionner l’objet B ou créer un bookmark/masquage</x:v>
      </x:c>
    </x:row>
    <x:row r="360">
      <x:c r="A360" s="24" t="str">
        <x:v>Rendez-vous</x:v>
      </x:c>
      <x:c r="B360" s="24" t="str">
        <x:v>G03_KPI_Row</x:v>
      </x:c>
      <x:c r="C360" s="24" t="str">
        <x:v>KPI_Card_02</x:v>
      </x:c>
      <x:c r="D360" s="24" t="str">
        <x:v>G03_KPI_Row</x:v>
      </x:c>
      <x:c r="E360" s="24" t="str">
        <x:v>KPI_Card_03</x:v>
      </x:c>
      <x:c r="F360" s="25" t="n">
        <x:v>323</x:v>
      </x:c>
      <x:c r="G360" s="25" t="n">
        <x:v>330</x:v>
      </x:c>
      <x:c r="H360" s="25" t="n">
        <x:v>287</x:v>
      </x:c>
      <x:c r="I360" s="25" t="n">
        <x:v>180</x:v>
      </x:c>
      <x:c r="J360" s="25" t="n">
        <x:f>F360+H360</x:f>
        <x:v>610</x:v>
      </x:c>
      <x:c r="K360" s="25" t="n">
        <x:f>G360+I360</x:f>
        <x:v>510</x:v>
      </x:c>
      <x:c r="L360" s="25" t="n">
        <x:v>626</x:v>
      </x:c>
      <x:c r="M360" s="25" t="n">
        <x:v>330</x:v>
      </x:c>
      <x:c r="N360" s="25" t="n">
        <x:v>287</x:v>
      </x:c>
      <x:c r="O360" s="25" t="n">
        <x:v>180</x:v>
      </x:c>
      <x:c r="P360" s="25" t="n">
        <x:f>L360+N360</x:f>
        <x:v>913</x:v>
      </x:c>
      <x:c r="Q360" s="25" t="n">
        <x:f>M360+O360</x:f>
        <x:v>510</x:v>
      </x:c>
      <x:c r="R360" s="25" t="n">
        <x:f>MAX(0,MIN(J360,P360)-MAX(F360,L360))</x:f>
        <x:v>0</x:v>
      </x:c>
      <x:c r="S360" s="25" t="n">
        <x:f>MAX(0,MIN(K360,Q360)-MAX(G360,M360))</x:f>
        <x:v>180</x:v>
      </x:c>
      <x:c r="T360" s="25" t="n">
        <x:f>R360*S360</x:f>
        <x:v>0</x:v>
      </x:c>
      <x:c r="U360" s="24" t="str">
        <x:f>IF(T360&gt;0,"ERREUR chevauchement","OK aucun chevauchement")</x:f>
        <x:v>OK aucun chevauchement</x:v>
      </x:c>
      <x:c r="V360" s="24" t="str">
        <x:v>OK aucun chevauchement</x:v>
      </x:c>
      <x:c r="W360" s="24" t="str">
        <x:v>Si ERREUR : déplacer/redimensionner l’objet B ou créer un bookmark/masquage</x:v>
      </x:c>
    </x:row>
    <x:row r="361">
      <x:c r="A361" s="24" t="str">
        <x:v>Rendez-vous</x:v>
      </x:c>
      <x:c r="B361" s="24" t="str">
        <x:v>G03_KPI_Row</x:v>
      </x:c>
      <x:c r="C361" s="24" t="str">
        <x:v>KPI_Card_02</x:v>
      </x:c>
      <x:c r="D361" s="24" t="str">
        <x:v>G03_KPI_Row</x:v>
      </x:c>
      <x:c r="E361" s="24" t="str">
        <x:v>KPI_Card_04</x:v>
      </x:c>
      <x:c r="F361" s="25" t="n">
        <x:v>323</x:v>
      </x:c>
      <x:c r="G361" s="25" t="n">
        <x:v>330</x:v>
      </x:c>
      <x:c r="H361" s="25" t="n">
        <x:v>287</x:v>
      </x:c>
      <x:c r="I361" s="25" t="n">
        <x:v>180</x:v>
      </x:c>
      <x:c r="J361" s="25" t="n">
        <x:f>F361+H361</x:f>
        <x:v>610</x:v>
      </x:c>
      <x:c r="K361" s="25" t="n">
        <x:f>G361+I361</x:f>
        <x:v>510</x:v>
      </x:c>
      <x:c r="L361" s="25" t="n">
        <x:v>929</x:v>
      </x:c>
      <x:c r="M361" s="25" t="n">
        <x:v>330</x:v>
      </x:c>
      <x:c r="N361" s="25" t="n">
        <x:v>287</x:v>
      </x:c>
      <x:c r="O361" s="25" t="n">
        <x:v>180</x:v>
      </x:c>
      <x:c r="P361" s="25" t="n">
        <x:f>L361+N361</x:f>
        <x:v>1216</x:v>
      </x:c>
      <x:c r="Q361" s="25" t="n">
        <x:f>M361+O361</x:f>
        <x:v>510</x:v>
      </x:c>
      <x:c r="R361" s="25" t="n">
        <x:f>MAX(0,MIN(J361,P361)-MAX(F361,L361))</x:f>
        <x:v>0</x:v>
      </x:c>
      <x:c r="S361" s="25" t="n">
        <x:f>MAX(0,MIN(K361,Q361)-MAX(G361,M361))</x:f>
        <x:v>180</x:v>
      </x:c>
      <x:c r="T361" s="25" t="n">
        <x:f>R361*S361</x:f>
        <x:v>0</x:v>
      </x:c>
      <x:c r="U361" s="24" t="str">
        <x:f>IF(T361&gt;0,"ERREUR chevauchement","OK aucun chevauchement")</x:f>
        <x:v>OK aucun chevauchement</x:v>
      </x:c>
      <x:c r="V361" s="24" t="str">
        <x:v>OK aucun chevauchement</x:v>
      </x:c>
      <x:c r="W361" s="24" t="str">
        <x:v>Si ERREUR : déplacer/redimensionner l’objet B ou créer un bookmark/masquage</x:v>
      </x:c>
    </x:row>
    <x:row r="362">
      <x:c r="A362" s="24" t="str">
        <x:v>Rendez-vous</x:v>
      </x:c>
      <x:c r="B362" s="24" t="str">
        <x:v>G03_KPI_Row</x:v>
      </x:c>
      <x:c r="C362" s="24" t="str">
        <x:v>KPI_Card_02</x:v>
      </x:c>
      <x:c r="D362" s="24" t="str">
        <x:v>G03_KPI_Row</x:v>
      </x:c>
      <x:c r="E362" s="24" t="str">
        <x:v>KPI_Card_05</x:v>
      </x:c>
      <x:c r="F362" s="25" t="n">
        <x:v>323</x:v>
      </x:c>
      <x:c r="G362" s="25" t="n">
        <x:v>330</x:v>
      </x:c>
      <x:c r="H362" s="25" t="n">
        <x:v>287</x:v>
      </x:c>
      <x:c r="I362" s="25" t="n">
        <x:v>180</x:v>
      </x:c>
      <x:c r="J362" s="25" t="n">
        <x:f>F362+H362</x:f>
        <x:v>610</x:v>
      </x:c>
      <x:c r="K362" s="25" t="n">
        <x:f>G362+I362</x:f>
        <x:v>510</x:v>
      </x:c>
      <x:c r="L362" s="25" t="n">
        <x:v>1232</x:v>
      </x:c>
      <x:c r="M362" s="25" t="n">
        <x:v>330</x:v>
      </x:c>
      <x:c r="N362" s="25" t="n">
        <x:v>287</x:v>
      </x:c>
      <x:c r="O362" s="25" t="n">
        <x:v>180</x:v>
      </x:c>
      <x:c r="P362" s="25" t="n">
        <x:f>L362+N362</x:f>
        <x:v>1519</x:v>
      </x:c>
      <x:c r="Q362" s="25" t="n">
        <x:f>M362+O362</x:f>
        <x:v>510</x:v>
      </x:c>
      <x:c r="R362" s="25" t="n">
        <x:f>MAX(0,MIN(J362,P362)-MAX(F362,L362))</x:f>
        <x:v>0</x:v>
      </x:c>
      <x:c r="S362" s="25" t="n">
        <x:f>MAX(0,MIN(K362,Q362)-MAX(G362,M362))</x:f>
        <x:v>180</x:v>
      </x:c>
      <x:c r="T362" s="25" t="n">
        <x:f>R362*S362</x:f>
        <x:v>0</x:v>
      </x:c>
      <x:c r="U362" s="24" t="str">
        <x:f>IF(T362&gt;0,"ERREUR chevauchement","OK aucun chevauchement")</x:f>
        <x:v>OK aucun chevauchement</x:v>
      </x:c>
      <x:c r="V362" s="24" t="str">
        <x:v>OK aucun chevauchement</x:v>
      </x:c>
      <x:c r="W362" s="24" t="str">
        <x:v>Si ERREUR : déplacer/redimensionner l’objet B ou créer un bookmark/masquage</x:v>
      </x:c>
    </x:row>
    <x:row r="363">
      <x:c r="A363" s="24" t="str">
        <x:v>Rendez-vous</x:v>
      </x:c>
      <x:c r="B363" s="24" t="str">
        <x:v>G03_KPI_Row</x:v>
      </x:c>
      <x:c r="C363" s="24" t="str">
        <x:v>KPI_Card_02</x:v>
      </x:c>
      <x:c r="D363" s="24" t="str">
        <x:v>G04_Charts</x:v>
      </x:c>
      <x:c r="E363" s="24" t="str">
        <x:v>Bar_Repartition_RDV</x:v>
      </x:c>
      <x:c r="F363" s="25" t="n">
        <x:v>323</x:v>
      </x:c>
      <x:c r="G363" s="25" t="n">
        <x:v>330</x:v>
      </x:c>
      <x:c r="H363" s="25" t="n">
        <x:v>287</x:v>
      </x:c>
      <x:c r="I363" s="25" t="n">
        <x:v>180</x:v>
      </x:c>
      <x:c r="J363" s="25" t="n">
        <x:f>F363+H363</x:f>
        <x:v>610</x:v>
      </x:c>
      <x:c r="K363" s="25" t="n">
        <x:f>G363+I363</x:f>
        <x:v>510</x:v>
      </x:c>
      <x:c r="L363" s="25" t="n">
        <x:v>20</x:v>
      </x:c>
      <x:c r="M363" s="25" t="n">
        <x:v>535</x:v>
      </x:c>
      <x:c r="N363" s="25" t="n">
        <x:v>490</x:v>
      </x:c>
      <x:c r="O363" s="25" t="n">
        <x:v>320</x:v>
      </x:c>
      <x:c r="P363" s="25" t="n">
        <x:f>L363+N363</x:f>
        <x:v>510</x:v>
      </x:c>
      <x:c r="Q363" s="25" t="n">
        <x:f>M363+O363</x:f>
        <x:v>855</x:v>
      </x:c>
      <x:c r="R363" s="25" t="n">
        <x:f>MAX(0,MIN(J363,P363)-MAX(F363,L363))</x:f>
        <x:v>187</x:v>
      </x:c>
      <x:c r="S363" s="25" t="n">
        <x:f>MAX(0,MIN(K363,Q363)-MAX(G363,M363))</x:f>
        <x:v>0</x:v>
      </x:c>
      <x:c r="T363" s="25" t="n">
        <x:f>R363*S363</x:f>
        <x:v>0</x:v>
      </x:c>
      <x:c r="U363" s="24" t="str">
        <x:f>IF(T363&gt;0,"ERREUR chevauchement","OK aucun chevauchement")</x:f>
        <x:v>OK aucun chevauchement</x:v>
      </x:c>
      <x:c r="V363" s="24" t="str">
        <x:v>OK aucun chevauchement</x:v>
      </x:c>
      <x:c r="W363" s="24" t="str">
        <x:v>Si ERREUR : déplacer/redimensionner l’objet B ou créer un bookmark/masquage</x:v>
      </x:c>
    </x:row>
    <x:row r="364">
      <x:c r="A364" s="24" t="str">
        <x:v>Rendez-vous</x:v>
      </x:c>
      <x:c r="B364" s="24" t="str">
        <x:v>G03_KPI_Row</x:v>
      </x:c>
      <x:c r="C364" s="24" t="str">
        <x:v>KPI_Card_02</x:v>
      </x:c>
      <x:c r="D364" s="24" t="str">
        <x:v>G04_Charts</x:v>
      </x:c>
      <x:c r="E364" s="24" t="str">
        <x:v>Line_RDV_Prevus_Realises</x:v>
      </x:c>
      <x:c r="F364" s="25" t="n">
        <x:v>323</x:v>
      </x:c>
      <x:c r="G364" s="25" t="n">
        <x:v>330</x:v>
      </x:c>
      <x:c r="H364" s="25" t="n">
        <x:v>287</x:v>
      </x:c>
      <x:c r="I364" s="25" t="n">
        <x:v>180</x:v>
      </x:c>
      <x:c r="J364" s="25" t="n">
        <x:f>F364+H364</x:f>
        <x:v>610</x:v>
      </x:c>
      <x:c r="K364" s="25" t="n">
        <x:f>G364+I364</x:f>
        <x:v>510</x:v>
      </x:c>
      <x:c r="L364" s="25" t="n">
        <x:v>526</x:v>
      </x:c>
      <x:c r="M364" s="25" t="n">
        <x:v>535</x:v>
      </x:c>
      <x:c r="N364" s="25" t="n">
        <x:v>994</x:v>
      </x:c>
      <x:c r="O364" s="25" t="n">
        <x:v>320</x:v>
      </x:c>
      <x:c r="P364" s="25" t="n">
        <x:f>L364+N364</x:f>
        <x:v>1520</x:v>
      </x:c>
      <x:c r="Q364" s="25" t="n">
        <x:f>M364+O364</x:f>
        <x:v>855</x:v>
      </x:c>
      <x:c r="R364" s="25" t="n">
        <x:f>MAX(0,MIN(J364,P364)-MAX(F364,L364))</x:f>
        <x:v>84</x:v>
      </x:c>
      <x:c r="S364" s="25" t="n">
        <x:f>MAX(0,MIN(K364,Q364)-MAX(G364,M364))</x:f>
        <x:v>0</x:v>
      </x:c>
      <x:c r="T364" s="25" t="n">
        <x:f>R364*S364</x:f>
        <x:v>0</x:v>
      </x:c>
      <x:c r="U364" s="24" t="str">
        <x:f>IF(T364&gt;0,"ERREUR chevauchement","OK aucun chevauchement")</x:f>
        <x:v>OK aucun chevauchement</x:v>
      </x:c>
      <x:c r="V364" s="24" t="str">
        <x:v>OK aucun chevauchement</x:v>
      </x:c>
      <x:c r="W364" s="24" t="str">
        <x:v>Si ERREUR : déplacer/redimensionner l’objet B ou créer un bookmark/masquage</x:v>
      </x:c>
    </x:row>
    <x:row r="365">
      <x:c r="A365" s="24" t="str">
        <x:v>Rendez-vous</x:v>
      </x:c>
      <x:c r="B365" s="24" t="str">
        <x:v>G03_KPI_Row</x:v>
      </x:c>
      <x:c r="C365" s="24" t="str">
        <x:v>KPI_Card_02</x:v>
      </x:c>
      <x:c r="D365" s="24" t="str">
        <x:v>G05_Table</x:v>
      </x:c>
      <x:c r="E365" s="24" t="str">
        <x:v>Table_Detail_RDV</x:v>
      </x:c>
      <x:c r="F365" s="25" t="n">
        <x:v>323</x:v>
      </x:c>
      <x:c r="G365" s="25" t="n">
        <x:v>330</x:v>
      </x:c>
      <x:c r="H365" s="25" t="n">
        <x:v>287</x:v>
      </x:c>
      <x:c r="I365" s="25" t="n">
        <x:v>180</x:v>
      </x:c>
      <x:c r="J365" s="25" t="n">
        <x:f>F365+H365</x:f>
        <x:v>610</x:v>
      </x:c>
      <x:c r="K365" s="25" t="n">
        <x:f>G365+I365</x:f>
        <x:v>510</x:v>
      </x:c>
      <x:c r="L365" s="25" t="n">
        <x:v>20</x:v>
      </x:c>
      <x:c r="M365" s="25" t="n">
        <x:v>875</x:v>
      </x:c>
      <x:c r="N365" s="25" t="n">
        <x:v>1500</x:v>
      </x:c>
      <x:c r="O365" s="25" t="n">
        <x:v>360</x:v>
      </x:c>
      <x:c r="P365" s="25" t="n">
        <x:f>L365+N365</x:f>
        <x:v>1520</x:v>
      </x:c>
      <x:c r="Q365" s="25" t="n">
        <x:f>M365+O365</x:f>
        <x:v>1235</x:v>
      </x:c>
      <x:c r="R365" s="25" t="n">
        <x:f>MAX(0,MIN(J365,P365)-MAX(F365,L365))</x:f>
        <x:v>287</x:v>
      </x:c>
      <x:c r="S365" s="25" t="n">
        <x:f>MAX(0,MIN(K365,Q365)-MAX(G365,M365))</x:f>
        <x:v>0</x:v>
      </x:c>
      <x:c r="T365" s="25" t="n">
        <x:f>R365*S365</x:f>
        <x:v>0</x:v>
      </x:c>
      <x:c r="U365" s="24" t="str">
        <x:f>IF(T365&gt;0,"ERREUR chevauchement","OK aucun chevauchement")</x:f>
        <x:v>OK aucun chevauchement</x:v>
      </x:c>
      <x:c r="V365" s="24" t="str">
        <x:v>OK aucun chevauchement</x:v>
      </x:c>
      <x:c r="W365" s="24" t="str">
        <x:v>Si ERREUR : déplacer/redimensionner l’objet B ou créer un bookmark/masquage</x:v>
      </x:c>
    </x:row>
    <x:row r="366">
      <x:c r="A366" s="24" t="str">
        <x:v>Rendez-vous</x:v>
      </x:c>
      <x:c r="B366" s="24" t="str">
        <x:v>G03_KPI_Row</x:v>
      </x:c>
      <x:c r="C366" s="24" t="str">
        <x:v>KPI_Card_03</x:v>
      </x:c>
      <x:c r="D366" s="24" t="str">
        <x:v>G03_KPI_Row</x:v>
      </x:c>
      <x:c r="E366" s="24" t="str">
        <x:v>KPI_Card_04</x:v>
      </x:c>
      <x:c r="F366" s="25" t="n">
        <x:v>626</x:v>
      </x:c>
      <x:c r="G366" s="25" t="n">
        <x:v>330</x:v>
      </x:c>
      <x:c r="H366" s="25" t="n">
        <x:v>287</x:v>
      </x:c>
      <x:c r="I366" s="25" t="n">
        <x:v>180</x:v>
      </x:c>
      <x:c r="J366" s="25" t="n">
        <x:f>F366+H366</x:f>
        <x:v>913</x:v>
      </x:c>
      <x:c r="K366" s="25" t="n">
        <x:f>G366+I366</x:f>
        <x:v>510</x:v>
      </x:c>
      <x:c r="L366" s="25" t="n">
        <x:v>929</x:v>
      </x:c>
      <x:c r="M366" s="25" t="n">
        <x:v>330</x:v>
      </x:c>
      <x:c r="N366" s="25" t="n">
        <x:v>287</x:v>
      </x:c>
      <x:c r="O366" s="25" t="n">
        <x:v>180</x:v>
      </x:c>
      <x:c r="P366" s="25" t="n">
        <x:f>L366+N366</x:f>
        <x:v>1216</x:v>
      </x:c>
      <x:c r="Q366" s="25" t="n">
        <x:f>M366+O366</x:f>
        <x:v>510</x:v>
      </x:c>
      <x:c r="R366" s="25" t="n">
        <x:f>MAX(0,MIN(J366,P366)-MAX(F366,L366))</x:f>
        <x:v>0</x:v>
      </x:c>
      <x:c r="S366" s="25" t="n">
        <x:f>MAX(0,MIN(K366,Q366)-MAX(G366,M366))</x:f>
        <x:v>180</x:v>
      </x:c>
      <x:c r="T366" s="25" t="n">
        <x:f>R366*S366</x:f>
        <x:v>0</x:v>
      </x:c>
      <x:c r="U366" s="24" t="str">
        <x:f>IF(T366&gt;0,"ERREUR chevauchement","OK aucun chevauchement")</x:f>
        <x:v>OK aucun chevauchement</x:v>
      </x:c>
      <x:c r="V366" s="24" t="str">
        <x:v>OK aucun chevauchement</x:v>
      </x:c>
      <x:c r="W366" s="24" t="str">
        <x:v>Si ERREUR : déplacer/redimensionner l’objet B ou créer un bookmark/masquage</x:v>
      </x:c>
    </x:row>
    <x:row r="367">
      <x:c r="A367" s="24" t="str">
        <x:v>Rendez-vous</x:v>
      </x:c>
      <x:c r="B367" s="24" t="str">
        <x:v>G03_KPI_Row</x:v>
      </x:c>
      <x:c r="C367" s="24" t="str">
        <x:v>KPI_Card_03</x:v>
      </x:c>
      <x:c r="D367" s="24" t="str">
        <x:v>G03_KPI_Row</x:v>
      </x:c>
      <x:c r="E367" s="24" t="str">
        <x:v>KPI_Card_05</x:v>
      </x:c>
      <x:c r="F367" s="25" t="n">
        <x:v>626</x:v>
      </x:c>
      <x:c r="G367" s="25" t="n">
        <x:v>330</x:v>
      </x:c>
      <x:c r="H367" s="25" t="n">
        <x:v>287</x:v>
      </x:c>
      <x:c r="I367" s="25" t="n">
        <x:v>180</x:v>
      </x:c>
      <x:c r="J367" s="25" t="n">
        <x:f>F367+H367</x:f>
        <x:v>913</x:v>
      </x:c>
      <x:c r="K367" s="25" t="n">
        <x:f>G367+I367</x:f>
        <x:v>510</x:v>
      </x:c>
      <x:c r="L367" s="25" t="n">
        <x:v>1232</x:v>
      </x:c>
      <x:c r="M367" s="25" t="n">
        <x:v>330</x:v>
      </x:c>
      <x:c r="N367" s="25" t="n">
        <x:v>287</x:v>
      </x:c>
      <x:c r="O367" s="25" t="n">
        <x:v>180</x:v>
      </x:c>
      <x:c r="P367" s="25" t="n">
        <x:f>L367+N367</x:f>
        <x:v>1519</x:v>
      </x:c>
      <x:c r="Q367" s="25" t="n">
        <x:f>M367+O367</x:f>
        <x:v>510</x:v>
      </x:c>
      <x:c r="R367" s="25" t="n">
        <x:f>MAX(0,MIN(J367,P367)-MAX(F367,L367))</x:f>
        <x:v>0</x:v>
      </x:c>
      <x:c r="S367" s="25" t="n">
        <x:f>MAX(0,MIN(K367,Q367)-MAX(G367,M367))</x:f>
        <x:v>180</x:v>
      </x:c>
      <x:c r="T367" s="25" t="n">
        <x:f>R367*S367</x:f>
        <x:v>0</x:v>
      </x:c>
      <x:c r="U367" s="24" t="str">
        <x:f>IF(T367&gt;0,"ERREUR chevauchement","OK aucun chevauchement")</x:f>
        <x:v>OK aucun chevauchement</x:v>
      </x:c>
      <x:c r="V367" s="24" t="str">
        <x:v>OK aucun chevauchement</x:v>
      </x:c>
      <x:c r="W367" s="24" t="str">
        <x:v>Si ERREUR : déplacer/redimensionner l’objet B ou créer un bookmark/masquage</x:v>
      </x:c>
    </x:row>
    <x:row r="368">
      <x:c r="A368" s="24" t="str">
        <x:v>Rendez-vous</x:v>
      </x:c>
      <x:c r="B368" s="24" t="str">
        <x:v>G03_KPI_Row</x:v>
      </x:c>
      <x:c r="C368" s="24" t="str">
        <x:v>KPI_Card_03</x:v>
      </x:c>
      <x:c r="D368" s="24" t="str">
        <x:v>G04_Charts</x:v>
      </x:c>
      <x:c r="E368" s="24" t="str">
        <x:v>Bar_Repartition_RDV</x:v>
      </x:c>
      <x:c r="F368" s="25" t="n">
        <x:v>626</x:v>
      </x:c>
      <x:c r="G368" s="25" t="n">
        <x:v>330</x:v>
      </x:c>
      <x:c r="H368" s="25" t="n">
        <x:v>287</x:v>
      </x:c>
      <x:c r="I368" s="25" t="n">
        <x:v>180</x:v>
      </x:c>
      <x:c r="J368" s="25" t="n">
        <x:f>F368+H368</x:f>
        <x:v>913</x:v>
      </x:c>
      <x:c r="K368" s="25" t="n">
        <x:f>G368+I368</x:f>
        <x:v>510</x:v>
      </x:c>
      <x:c r="L368" s="25" t="n">
        <x:v>20</x:v>
      </x:c>
      <x:c r="M368" s="25" t="n">
        <x:v>535</x:v>
      </x:c>
      <x:c r="N368" s="25" t="n">
        <x:v>490</x:v>
      </x:c>
      <x:c r="O368" s="25" t="n">
        <x:v>320</x:v>
      </x:c>
      <x:c r="P368" s="25" t="n">
        <x:f>L368+N368</x:f>
        <x:v>510</x:v>
      </x:c>
      <x:c r="Q368" s="25" t="n">
        <x:f>M368+O368</x:f>
        <x:v>855</x:v>
      </x:c>
      <x:c r="R368" s="25" t="n">
        <x:f>MAX(0,MIN(J368,P368)-MAX(F368,L368))</x:f>
        <x:v>0</x:v>
      </x:c>
      <x:c r="S368" s="25" t="n">
        <x:f>MAX(0,MIN(K368,Q368)-MAX(G368,M368))</x:f>
        <x:v>0</x:v>
      </x:c>
      <x:c r="T368" s="25" t="n">
        <x:f>R368*S368</x:f>
        <x:v>0</x:v>
      </x:c>
      <x:c r="U368" s="24" t="str">
        <x:f>IF(T368&gt;0,"ERREUR chevauchement","OK aucun chevauchement")</x:f>
        <x:v>OK aucun chevauchement</x:v>
      </x:c>
      <x:c r="V368" s="24" t="str">
        <x:v>OK aucun chevauchement</x:v>
      </x:c>
      <x:c r="W368" s="24" t="str">
        <x:v>Si ERREUR : déplacer/redimensionner l’objet B ou créer un bookmark/masquage</x:v>
      </x:c>
    </x:row>
    <x:row r="369">
      <x:c r="A369" s="24" t="str">
        <x:v>Rendez-vous</x:v>
      </x:c>
      <x:c r="B369" s="24" t="str">
        <x:v>G03_KPI_Row</x:v>
      </x:c>
      <x:c r="C369" s="24" t="str">
        <x:v>KPI_Card_03</x:v>
      </x:c>
      <x:c r="D369" s="24" t="str">
        <x:v>G04_Charts</x:v>
      </x:c>
      <x:c r="E369" s="24" t="str">
        <x:v>Line_RDV_Prevus_Realises</x:v>
      </x:c>
      <x:c r="F369" s="25" t="n">
        <x:v>626</x:v>
      </x:c>
      <x:c r="G369" s="25" t="n">
        <x:v>330</x:v>
      </x:c>
      <x:c r="H369" s="25" t="n">
        <x:v>287</x:v>
      </x:c>
      <x:c r="I369" s="25" t="n">
        <x:v>180</x:v>
      </x:c>
      <x:c r="J369" s="25" t="n">
        <x:f>F369+H369</x:f>
        <x:v>913</x:v>
      </x:c>
      <x:c r="K369" s="25" t="n">
        <x:f>G369+I369</x:f>
        <x:v>510</x:v>
      </x:c>
      <x:c r="L369" s="25" t="n">
        <x:v>526</x:v>
      </x:c>
      <x:c r="M369" s="25" t="n">
        <x:v>535</x:v>
      </x:c>
      <x:c r="N369" s="25" t="n">
        <x:v>994</x:v>
      </x:c>
      <x:c r="O369" s="25" t="n">
        <x:v>320</x:v>
      </x:c>
      <x:c r="P369" s="25" t="n">
        <x:f>L369+N369</x:f>
        <x:v>1520</x:v>
      </x:c>
      <x:c r="Q369" s="25" t="n">
        <x:f>M369+O369</x:f>
        <x:v>855</x:v>
      </x:c>
      <x:c r="R369" s="25" t="n">
        <x:f>MAX(0,MIN(J369,P369)-MAX(F369,L369))</x:f>
        <x:v>287</x:v>
      </x:c>
      <x:c r="S369" s="25" t="n">
        <x:f>MAX(0,MIN(K369,Q369)-MAX(G369,M369))</x:f>
        <x:v>0</x:v>
      </x:c>
      <x:c r="T369" s="25" t="n">
        <x:f>R369*S369</x:f>
        <x:v>0</x:v>
      </x:c>
      <x:c r="U369" s="24" t="str">
        <x:f>IF(T369&gt;0,"ERREUR chevauchement","OK aucun chevauchement")</x:f>
        <x:v>OK aucun chevauchement</x:v>
      </x:c>
      <x:c r="V369" s="24" t="str">
        <x:v>OK aucun chevauchement</x:v>
      </x:c>
      <x:c r="W369" s="24" t="str">
        <x:v>Si ERREUR : déplacer/redimensionner l’objet B ou créer un bookmark/masquage</x:v>
      </x:c>
    </x:row>
    <x:row r="370">
      <x:c r="A370" s="24" t="str">
        <x:v>Rendez-vous</x:v>
      </x:c>
      <x:c r="B370" s="24" t="str">
        <x:v>G03_KPI_Row</x:v>
      </x:c>
      <x:c r="C370" s="24" t="str">
        <x:v>KPI_Card_03</x:v>
      </x:c>
      <x:c r="D370" s="24" t="str">
        <x:v>G05_Table</x:v>
      </x:c>
      <x:c r="E370" s="24" t="str">
        <x:v>Table_Detail_RDV</x:v>
      </x:c>
      <x:c r="F370" s="25" t="n">
        <x:v>626</x:v>
      </x:c>
      <x:c r="G370" s="25" t="n">
        <x:v>330</x:v>
      </x:c>
      <x:c r="H370" s="25" t="n">
        <x:v>287</x:v>
      </x:c>
      <x:c r="I370" s="25" t="n">
        <x:v>180</x:v>
      </x:c>
      <x:c r="J370" s="25" t="n">
        <x:f>F370+H370</x:f>
        <x:v>913</x:v>
      </x:c>
      <x:c r="K370" s="25" t="n">
        <x:f>G370+I370</x:f>
        <x:v>510</x:v>
      </x:c>
      <x:c r="L370" s="25" t="n">
        <x:v>20</x:v>
      </x:c>
      <x:c r="M370" s="25" t="n">
        <x:v>875</x:v>
      </x:c>
      <x:c r="N370" s="25" t="n">
        <x:v>1500</x:v>
      </x:c>
      <x:c r="O370" s="25" t="n">
        <x:v>360</x:v>
      </x:c>
      <x:c r="P370" s="25" t="n">
        <x:f>L370+N370</x:f>
        <x:v>1520</x:v>
      </x:c>
      <x:c r="Q370" s="25" t="n">
        <x:f>M370+O370</x:f>
        <x:v>1235</x:v>
      </x:c>
      <x:c r="R370" s="25" t="n">
        <x:f>MAX(0,MIN(J370,P370)-MAX(F370,L370))</x:f>
        <x:v>287</x:v>
      </x:c>
      <x:c r="S370" s="25" t="n">
        <x:f>MAX(0,MIN(K370,Q370)-MAX(G370,M370))</x:f>
        <x:v>0</x:v>
      </x:c>
      <x:c r="T370" s="25" t="n">
        <x:f>R370*S370</x:f>
        <x:v>0</x:v>
      </x:c>
      <x:c r="U370" s="24" t="str">
        <x:f>IF(T370&gt;0,"ERREUR chevauchement","OK aucun chevauchement")</x:f>
        <x:v>OK aucun chevauchement</x:v>
      </x:c>
      <x:c r="V370" s="24" t="str">
        <x:v>OK aucun chevauchement</x:v>
      </x:c>
      <x:c r="W370" s="24" t="str">
        <x:v>Si ERREUR : déplacer/redimensionner l’objet B ou créer un bookmark/masquage</x:v>
      </x:c>
    </x:row>
    <x:row r="371">
      <x:c r="A371" s="24" t="str">
        <x:v>Rendez-vous</x:v>
      </x:c>
      <x:c r="B371" s="24" t="str">
        <x:v>G03_KPI_Row</x:v>
      </x:c>
      <x:c r="C371" s="24" t="str">
        <x:v>KPI_Card_04</x:v>
      </x:c>
      <x:c r="D371" s="24" t="str">
        <x:v>G03_KPI_Row</x:v>
      </x:c>
      <x:c r="E371" s="24" t="str">
        <x:v>KPI_Card_05</x:v>
      </x:c>
      <x:c r="F371" s="25" t="n">
        <x:v>929</x:v>
      </x:c>
      <x:c r="G371" s="25" t="n">
        <x:v>330</x:v>
      </x:c>
      <x:c r="H371" s="25" t="n">
        <x:v>287</x:v>
      </x:c>
      <x:c r="I371" s="25" t="n">
        <x:v>180</x:v>
      </x:c>
      <x:c r="J371" s="25" t="n">
        <x:f>F371+H371</x:f>
        <x:v>1216</x:v>
      </x:c>
      <x:c r="K371" s="25" t="n">
        <x:f>G371+I371</x:f>
        <x:v>510</x:v>
      </x:c>
      <x:c r="L371" s="25" t="n">
        <x:v>1232</x:v>
      </x:c>
      <x:c r="M371" s="25" t="n">
        <x:v>330</x:v>
      </x:c>
      <x:c r="N371" s="25" t="n">
        <x:v>287</x:v>
      </x:c>
      <x:c r="O371" s="25" t="n">
        <x:v>180</x:v>
      </x:c>
      <x:c r="P371" s="25" t="n">
        <x:f>L371+N371</x:f>
        <x:v>1519</x:v>
      </x:c>
      <x:c r="Q371" s="25" t="n">
        <x:f>M371+O371</x:f>
        <x:v>510</x:v>
      </x:c>
      <x:c r="R371" s="25" t="n">
        <x:f>MAX(0,MIN(J371,P371)-MAX(F371,L371))</x:f>
        <x:v>0</x:v>
      </x:c>
      <x:c r="S371" s="25" t="n">
        <x:f>MAX(0,MIN(K371,Q371)-MAX(G371,M371))</x:f>
        <x:v>180</x:v>
      </x:c>
      <x:c r="T371" s="25" t="n">
        <x:f>R371*S371</x:f>
        <x:v>0</x:v>
      </x:c>
      <x:c r="U371" s="24" t="str">
        <x:f>IF(T371&gt;0,"ERREUR chevauchement","OK aucun chevauchement")</x:f>
        <x:v>OK aucun chevauchement</x:v>
      </x:c>
      <x:c r="V371" s="24" t="str">
        <x:v>OK aucun chevauchement</x:v>
      </x:c>
      <x:c r="W371" s="24" t="str">
        <x:v>Si ERREUR : déplacer/redimensionner l’objet B ou créer un bookmark/masquage</x:v>
      </x:c>
    </x:row>
    <x:row r="372">
      <x:c r="A372" s="24" t="str">
        <x:v>Rendez-vous</x:v>
      </x:c>
      <x:c r="B372" s="24" t="str">
        <x:v>G03_KPI_Row</x:v>
      </x:c>
      <x:c r="C372" s="24" t="str">
        <x:v>KPI_Card_04</x:v>
      </x:c>
      <x:c r="D372" s="24" t="str">
        <x:v>G04_Charts</x:v>
      </x:c>
      <x:c r="E372" s="24" t="str">
        <x:v>Bar_Repartition_RDV</x:v>
      </x:c>
      <x:c r="F372" s="25" t="n">
        <x:v>929</x:v>
      </x:c>
      <x:c r="G372" s="25" t="n">
        <x:v>330</x:v>
      </x:c>
      <x:c r="H372" s="25" t="n">
        <x:v>287</x:v>
      </x:c>
      <x:c r="I372" s="25" t="n">
        <x:v>180</x:v>
      </x:c>
      <x:c r="J372" s="25" t="n">
        <x:f>F372+H372</x:f>
        <x:v>1216</x:v>
      </x:c>
      <x:c r="K372" s="25" t="n">
        <x:f>G372+I372</x:f>
        <x:v>510</x:v>
      </x:c>
      <x:c r="L372" s="25" t="n">
        <x:v>20</x:v>
      </x:c>
      <x:c r="M372" s="25" t="n">
        <x:v>535</x:v>
      </x:c>
      <x:c r="N372" s="25" t="n">
        <x:v>490</x:v>
      </x:c>
      <x:c r="O372" s="25" t="n">
        <x:v>320</x:v>
      </x:c>
      <x:c r="P372" s="25" t="n">
        <x:f>L372+N372</x:f>
        <x:v>510</x:v>
      </x:c>
      <x:c r="Q372" s="25" t="n">
        <x:f>M372+O372</x:f>
        <x:v>855</x:v>
      </x:c>
      <x:c r="R372" s="25" t="n">
        <x:f>MAX(0,MIN(J372,P372)-MAX(F372,L372))</x:f>
        <x:v>0</x:v>
      </x:c>
      <x:c r="S372" s="25" t="n">
        <x:f>MAX(0,MIN(K372,Q372)-MAX(G372,M372))</x:f>
        <x:v>0</x:v>
      </x:c>
      <x:c r="T372" s="25" t="n">
        <x:f>R372*S372</x:f>
        <x:v>0</x:v>
      </x:c>
      <x:c r="U372" s="24" t="str">
        <x:f>IF(T372&gt;0,"ERREUR chevauchement","OK aucun chevauchement")</x:f>
        <x:v>OK aucun chevauchement</x:v>
      </x:c>
      <x:c r="V372" s="24" t="str">
        <x:v>OK aucun chevauchement</x:v>
      </x:c>
      <x:c r="W372" s="24" t="str">
        <x:v>Si ERREUR : déplacer/redimensionner l’objet B ou créer un bookmark/masquage</x:v>
      </x:c>
    </x:row>
    <x:row r="373">
      <x:c r="A373" s="24" t="str">
        <x:v>Rendez-vous</x:v>
      </x:c>
      <x:c r="B373" s="24" t="str">
        <x:v>G03_KPI_Row</x:v>
      </x:c>
      <x:c r="C373" s="24" t="str">
        <x:v>KPI_Card_04</x:v>
      </x:c>
      <x:c r="D373" s="24" t="str">
        <x:v>G04_Charts</x:v>
      </x:c>
      <x:c r="E373" s="24" t="str">
        <x:v>Line_RDV_Prevus_Realises</x:v>
      </x:c>
      <x:c r="F373" s="25" t="n">
        <x:v>929</x:v>
      </x:c>
      <x:c r="G373" s="25" t="n">
        <x:v>330</x:v>
      </x:c>
      <x:c r="H373" s="25" t="n">
        <x:v>287</x:v>
      </x:c>
      <x:c r="I373" s="25" t="n">
        <x:v>180</x:v>
      </x:c>
      <x:c r="J373" s="25" t="n">
        <x:f>F373+H373</x:f>
        <x:v>1216</x:v>
      </x:c>
      <x:c r="K373" s="25" t="n">
        <x:f>G373+I373</x:f>
        <x:v>510</x:v>
      </x:c>
      <x:c r="L373" s="25" t="n">
        <x:v>526</x:v>
      </x:c>
      <x:c r="M373" s="25" t="n">
        <x:v>535</x:v>
      </x:c>
      <x:c r="N373" s="25" t="n">
        <x:v>994</x:v>
      </x:c>
      <x:c r="O373" s="25" t="n">
        <x:v>320</x:v>
      </x:c>
      <x:c r="P373" s="25" t="n">
        <x:f>L373+N373</x:f>
        <x:v>1520</x:v>
      </x:c>
      <x:c r="Q373" s="25" t="n">
        <x:f>M373+O373</x:f>
        <x:v>855</x:v>
      </x:c>
      <x:c r="R373" s="25" t="n">
        <x:f>MAX(0,MIN(J373,P373)-MAX(F373,L373))</x:f>
        <x:v>287</x:v>
      </x:c>
      <x:c r="S373" s="25" t="n">
        <x:f>MAX(0,MIN(K373,Q373)-MAX(G373,M373))</x:f>
        <x:v>0</x:v>
      </x:c>
      <x:c r="T373" s="25" t="n">
        <x:f>R373*S373</x:f>
        <x:v>0</x:v>
      </x:c>
      <x:c r="U373" s="24" t="str">
        <x:f>IF(T373&gt;0,"ERREUR chevauchement","OK aucun chevauchement")</x:f>
        <x:v>OK aucun chevauchement</x:v>
      </x:c>
      <x:c r="V373" s="24" t="str">
        <x:v>OK aucun chevauchement</x:v>
      </x:c>
      <x:c r="W373" s="24" t="str">
        <x:v>Si ERREUR : déplacer/redimensionner l’objet B ou créer un bookmark/masquage</x:v>
      </x:c>
    </x:row>
    <x:row r="374">
      <x:c r="A374" s="24" t="str">
        <x:v>Rendez-vous</x:v>
      </x:c>
      <x:c r="B374" s="24" t="str">
        <x:v>G03_KPI_Row</x:v>
      </x:c>
      <x:c r="C374" s="24" t="str">
        <x:v>KPI_Card_04</x:v>
      </x:c>
      <x:c r="D374" s="24" t="str">
        <x:v>G05_Table</x:v>
      </x:c>
      <x:c r="E374" s="24" t="str">
        <x:v>Table_Detail_RDV</x:v>
      </x:c>
      <x:c r="F374" s="25" t="n">
        <x:v>929</x:v>
      </x:c>
      <x:c r="G374" s="25" t="n">
        <x:v>330</x:v>
      </x:c>
      <x:c r="H374" s="25" t="n">
        <x:v>287</x:v>
      </x:c>
      <x:c r="I374" s="25" t="n">
        <x:v>180</x:v>
      </x:c>
      <x:c r="J374" s="25" t="n">
        <x:f>F374+H374</x:f>
        <x:v>1216</x:v>
      </x:c>
      <x:c r="K374" s="25" t="n">
        <x:f>G374+I374</x:f>
        <x:v>510</x:v>
      </x:c>
      <x:c r="L374" s="25" t="n">
        <x:v>20</x:v>
      </x:c>
      <x:c r="M374" s="25" t="n">
        <x:v>875</x:v>
      </x:c>
      <x:c r="N374" s="25" t="n">
        <x:v>1500</x:v>
      </x:c>
      <x:c r="O374" s="25" t="n">
        <x:v>360</x:v>
      </x:c>
      <x:c r="P374" s="25" t="n">
        <x:f>L374+N374</x:f>
        <x:v>1520</x:v>
      </x:c>
      <x:c r="Q374" s="25" t="n">
        <x:f>M374+O374</x:f>
        <x:v>1235</x:v>
      </x:c>
      <x:c r="R374" s="25" t="n">
        <x:f>MAX(0,MIN(J374,P374)-MAX(F374,L374))</x:f>
        <x:v>287</x:v>
      </x:c>
      <x:c r="S374" s="25" t="n">
        <x:f>MAX(0,MIN(K374,Q374)-MAX(G374,M374))</x:f>
        <x:v>0</x:v>
      </x:c>
      <x:c r="T374" s="25" t="n">
        <x:f>R374*S374</x:f>
        <x:v>0</x:v>
      </x:c>
      <x:c r="U374" s="24" t="str">
        <x:f>IF(T374&gt;0,"ERREUR chevauchement","OK aucun chevauchement")</x:f>
        <x:v>OK aucun chevauchement</x:v>
      </x:c>
      <x:c r="V374" s="24" t="str">
        <x:v>OK aucun chevauchement</x:v>
      </x:c>
      <x:c r="W374" s="24" t="str">
        <x:v>Si ERREUR : déplacer/redimensionner l’objet B ou créer un bookmark/masquage</x:v>
      </x:c>
    </x:row>
    <x:row r="375">
      <x:c r="A375" s="24" t="str">
        <x:v>Rendez-vous</x:v>
      </x:c>
      <x:c r="B375" s="24" t="str">
        <x:v>G03_KPI_Row</x:v>
      </x:c>
      <x:c r="C375" s="24" t="str">
        <x:v>KPI_Card_05</x:v>
      </x:c>
      <x:c r="D375" s="24" t="str">
        <x:v>G04_Charts</x:v>
      </x:c>
      <x:c r="E375" s="24" t="str">
        <x:v>Bar_Repartition_RDV</x:v>
      </x:c>
      <x:c r="F375" s="25" t="n">
        <x:v>1232</x:v>
      </x:c>
      <x:c r="G375" s="25" t="n">
        <x:v>330</x:v>
      </x:c>
      <x:c r="H375" s="25" t="n">
        <x:v>287</x:v>
      </x:c>
      <x:c r="I375" s="25" t="n">
        <x:v>180</x:v>
      </x:c>
      <x:c r="J375" s="25" t="n">
        <x:f>F375+H375</x:f>
        <x:v>1519</x:v>
      </x:c>
      <x:c r="K375" s="25" t="n">
        <x:f>G375+I375</x:f>
        <x:v>510</x:v>
      </x:c>
      <x:c r="L375" s="25" t="n">
        <x:v>20</x:v>
      </x:c>
      <x:c r="M375" s="25" t="n">
        <x:v>535</x:v>
      </x:c>
      <x:c r="N375" s="25" t="n">
        <x:v>490</x:v>
      </x:c>
      <x:c r="O375" s="25" t="n">
        <x:v>320</x:v>
      </x:c>
      <x:c r="P375" s="25" t="n">
        <x:f>L375+N375</x:f>
        <x:v>510</x:v>
      </x:c>
      <x:c r="Q375" s="25" t="n">
        <x:f>M375+O375</x:f>
        <x:v>855</x:v>
      </x:c>
      <x:c r="R375" s="25" t="n">
        <x:f>MAX(0,MIN(J375,P375)-MAX(F375,L375))</x:f>
        <x:v>0</x:v>
      </x:c>
      <x:c r="S375" s="25" t="n">
        <x:f>MAX(0,MIN(K375,Q375)-MAX(G375,M375))</x:f>
        <x:v>0</x:v>
      </x:c>
      <x:c r="T375" s="25" t="n">
        <x:f>R375*S375</x:f>
        <x:v>0</x:v>
      </x:c>
      <x:c r="U375" s="24" t="str">
        <x:f>IF(T375&gt;0,"ERREUR chevauchement","OK aucun chevauchement")</x:f>
        <x:v>OK aucun chevauchement</x:v>
      </x:c>
      <x:c r="V375" s="24" t="str">
        <x:v>OK aucun chevauchement</x:v>
      </x:c>
      <x:c r="W375" s="24" t="str">
        <x:v>Si ERREUR : déplacer/redimensionner l’objet B ou créer un bookmark/masquage</x:v>
      </x:c>
    </x:row>
    <x:row r="376">
      <x:c r="A376" s="24" t="str">
        <x:v>Rendez-vous</x:v>
      </x:c>
      <x:c r="B376" s="24" t="str">
        <x:v>G03_KPI_Row</x:v>
      </x:c>
      <x:c r="C376" s="24" t="str">
        <x:v>KPI_Card_05</x:v>
      </x:c>
      <x:c r="D376" s="24" t="str">
        <x:v>G04_Charts</x:v>
      </x:c>
      <x:c r="E376" s="24" t="str">
        <x:v>Line_RDV_Prevus_Realises</x:v>
      </x:c>
      <x:c r="F376" s="25" t="n">
        <x:v>1232</x:v>
      </x:c>
      <x:c r="G376" s="25" t="n">
        <x:v>330</x:v>
      </x:c>
      <x:c r="H376" s="25" t="n">
        <x:v>287</x:v>
      </x:c>
      <x:c r="I376" s="25" t="n">
        <x:v>180</x:v>
      </x:c>
      <x:c r="J376" s="25" t="n">
        <x:f>F376+H376</x:f>
        <x:v>1519</x:v>
      </x:c>
      <x:c r="K376" s="25" t="n">
        <x:f>G376+I376</x:f>
        <x:v>510</x:v>
      </x:c>
      <x:c r="L376" s="25" t="n">
        <x:v>526</x:v>
      </x:c>
      <x:c r="M376" s="25" t="n">
        <x:v>535</x:v>
      </x:c>
      <x:c r="N376" s="25" t="n">
        <x:v>994</x:v>
      </x:c>
      <x:c r="O376" s="25" t="n">
        <x:v>320</x:v>
      </x:c>
      <x:c r="P376" s="25" t="n">
        <x:f>L376+N376</x:f>
        <x:v>1520</x:v>
      </x:c>
      <x:c r="Q376" s="25" t="n">
        <x:f>M376+O376</x:f>
        <x:v>855</x:v>
      </x:c>
      <x:c r="R376" s="25" t="n">
        <x:f>MAX(0,MIN(J376,P376)-MAX(F376,L376))</x:f>
        <x:v>287</x:v>
      </x:c>
      <x:c r="S376" s="25" t="n">
        <x:f>MAX(0,MIN(K376,Q376)-MAX(G376,M376))</x:f>
        <x:v>0</x:v>
      </x:c>
      <x:c r="T376" s="25" t="n">
        <x:f>R376*S376</x:f>
        <x:v>0</x:v>
      </x:c>
      <x:c r="U376" s="24" t="str">
        <x:f>IF(T376&gt;0,"ERREUR chevauchement","OK aucun chevauchement")</x:f>
        <x:v>OK aucun chevauchement</x:v>
      </x:c>
      <x:c r="V376" s="24" t="str">
        <x:v>OK aucun chevauchement</x:v>
      </x:c>
      <x:c r="W376" s="24" t="str">
        <x:v>Si ERREUR : déplacer/redimensionner l’objet B ou créer un bookmark/masquage</x:v>
      </x:c>
    </x:row>
    <x:row r="377">
      <x:c r="A377" s="24" t="str">
        <x:v>Rendez-vous</x:v>
      </x:c>
      <x:c r="B377" s="24" t="str">
        <x:v>G03_KPI_Row</x:v>
      </x:c>
      <x:c r="C377" s="24" t="str">
        <x:v>KPI_Card_05</x:v>
      </x:c>
      <x:c r="D377" s="24" t="str">
        <x:v>G05_Table</x:v>
      </x:c>
      <x:c r="E377" s="24" t="str">
        <x:v>Table_Detail_RDV</x:v>
      </x:c>
      <x:c r="F377" s="25" t="n">
        <x:v>1232</x:v>
      </x:c>
      <x:c r="G377" s="25" t="n">
        <x:v>330</x:v>
      </x:c>
      <x:c r="H377" s="25" t="n">
        <x:v>287</x:v>
      </x:c>
      <x:c r="I377" s="25" t="n">
        <x:v>180</x:v>
      </x:c>
      <x:c r="J377" s="25" t="n">
        <x:f>F377+H377</x:f>
        <x:v>1519</x:v>
      </x:c>
      <x:c r="K377" s="25" t="n">
        <x:f>G377+I377</x:f>
        <x:v>510</x:v>
      </x:c>
      <x:c r="L377" s="25" t="n">
        <x:v>20</x:v>
      </x:c>
      <x:c r="M377" s="25" t="n">
        <x:v>875</x:v>
      </x:c>
      <x:c r="N377" s="25" t="n">
        <x:v>1500</x:v>
      </x:c>
      <x:c r="O377" s="25" t="n">
        <x:v>360</x:v>
      </x:c>
      <x:c r="P377" s="25" t="n">
        <x:f>L377+N377</x:f>
        <x:v>1520</x:v>
      </x:c>
      <x:c r="Q377" s="25" t="n">
        <x:f>M377+O377</x:f>
        <x:v>1235</x:v>
      </x:c>
      <x:c r="R377" s="25" t="n">
        <x:f>MAX(0,MIN(J377,P377)-MAX(F377,L377))</x:f>
        <x:v>287</x:v>
      </x:c>
      <x:c r="S377" s="25" t="n">
        <x:f>MAX(0,MIN(K377,Q377)-MAX(G377,M377))</x:f>
        <x:v>0</x:v>
      </x:c>
      <x:c r="T377" s="25" t="n">
        <x:f>R377*S377</x:f>
        <x:v>0</x:v>
      </x:c>
      <x:c r="U377" s="24" t="str">
        <x:f>IF(T377&gt;0,"ERREUR chevauchement","OK aucun chevauchement")</x:f>
        <x:v>OK aucun chevauchement</x:v>
      </x:c>
      <x:c r="V377" s="24" t="str">
        <x:v>OK aucun chevauchement</x:v>
      </x:c>
      <x:c r="W377" s="24" t="str">
        <x:v>Si ERREUR : déplacer/redimensionner l’objet B ou créer un bookmark/masquage</x:v>
      </x:c>
    </x:row>
    <x:row r="378">
      <x:c r="A378" s="24" t="str">
        <x:v>Alertes</x:v>
      </x:c>
      <x:c r="B378" s="24" t="str">
        <x:v>G00_Header_Global</x:v>
      </x:c>
      <x:c r="C378" s="24" t="str">
        <x:v>Header_Global</x:v>
      </x:c>
      <x:c r="D378" s="24" t="str">
        <x:v>G01_Title_Zone</x:v>
      </x:c>
      <x:c r="E378" s="24" t="str">
        <x:v>Title_Zone</x:v>
      </x:c>
      <x:c r="F378" s="25" t="n">
        <x:v>0</x:v>
      </x:c>
      <x:c r="G378" s="25" t="n">
        <x:v>0</x:v>
      </x:c>
      <x:c r="H378" s="25" t="n">
        <x:v>1540</x:v>
      </x:c>
      <x:c r="I378" s="25" t="n">
        <x:v>88</x:v>
      </x:c>
      <x:c r="J378" s="25" t="n">
        <x:f>F378+H378</x:f>
        <x:v>1540</x:v>
      </x:c>
      <x:c r="K378" s="25" t="n">
        <x:f>G378+I378</x:f>
        <x:v>88</x:v>
      </x:c>
      <x:c r="L378" s="25" t="n">
        <x:v>20</x:v>
      </x:c>
      <x:c r="M378" s="25" t="n">
        <x:v>110</x:v>
      </x:c>
      <x:c r="N378" s="25" t="n">
        <x:v>1500</x:v>
      </x:c>
      <x:c r="O378" s="25" t="n">
        <x:v>132</x:v>
      </x:c>
      <x:c r="P378" s="25" t="n">
        <x:f>L378+N378</x:f>
        <x:v>1520</x:v>
      </x:c>
      <x:c r="Q378" s="25" t="n">
        <x:f>M378+O378</x:f>
        <x:v>242</x:v>
      </x:c>
      <x:c r="R378" s="25" t="n">
        <x:f>MAX(0,MIN(J378,P378)-MAX(F378,L378))</x:f>
        <x:v>1500</x:v>
      </x:c>
      <x:c r="S378" s="25" t="n">
        <x:f>MAX(0,MIN(K378,Q378)-MAX(G378,M378))</x:f>
        <x:v>0</x:v>
      </x:c>
      <x:c r="T378" s="25" t="n">
        <x:f>R378*S378</x:f>
        <x:v>0</x:v>
      </x:c>
      <x:c r="U378" s="24" t="str">
        <x:f>IF(T378&gt;0,"ERREUR chevauchement","OK aucun chevauchement")</x:f>
        <x:v>OK aucun chevauchement</x:v>
      </x:c>
      <x:c r="V378" s="24" t="str">
        <x:v>OK aucun chevauchement</x:v>
      </x:c>
      <x:c r="W378" s="24" t="str">
        <x:v>Si ERREUR : déplacer/redimensionner l’objet B ou créer un bookmark/masquage</x:v>
      </x:c>
    </x:row>
    <x:row r="379">
      <x:c r="A379" s="24" t="str">
        <x:v>Alertes</x:v>
      </x:c>
      <x:c r="B379" s="24" t="str">
        <x:v>G00_Header_Global</x:v>
      </x:c>
      <x:c r="C379" s="24" t="str">
        <x:v>Header_Global</x:v>
      </x:c>
      <x:c r="D379" s="24" t="str">
        <x:v>G02_Toolbar</x:v>
      </x:c>
      <x:c r="E379" s="24" t="str">
        <x:v>Toolbar_Slicers_FieldParams</x:v>
      </x:c>
      <x:c r="F379" s="25" t="n">
        <x:v>0</x:v>
      </x:c>
      <x:c r="G379" s="25" t="n">
        <x:v>0</x:v>
      </x:c>
      <x:c r="H379" s="25" t="n">
        <x:v>1540</x:v>
      </x:c>
      <x:c r="I379" s="25" t="n">
        <x:v>88</x:v>
      </x:c>
      <x:c r="J379" s="25" t="n">
        <x:f>F379+H379</x:f>
        <x:v>1540</x:v>
      </x:c>
      <x:c r="K379" s="25" t="n">
        <x:f>G379+I379</x:f>
        <x:v>88</x:v>
      </x:c>
      <x:c r="L379" s="25" t="n">
        <x:v>20</x:v>
      </x:c>
      <x:c r="M379" s="25" t="n">
        <x:v>260</x:v>
      </x:c>
      <x:c r="N379" s="25" t="n">
        <x:v>1500</x:v>
      </x:c>
      <x:c r="O379" s="25" t="n">
        <x:v>56</x:v>
      </x:c>
      <x:c r="P379" s="25" t="n">
        <x:f>L379+N379</x:f>
        <x:v>1520</x:v>
      </x:c>
      <x:c r="Q379" s="25" t="n">
        <x:f>M379+O379</x:f>
        <x:v>316</x:v>
      </x:c>
      <x:c r="R379" s="25" t="n">
        <x:f>MAX(0,MIN(J379,P379)-MAX(F379,L379))</x:f>
        <x:v>1500</x:v>
      </x:c>
      <x:c r="S379" s="25" t="n">
        <x:f>MAX(0,MIN(K379,Q379)-MAX(G379,M379))</x:f>
        <x:v>0</x:v>
      </x:c>
      <x:c r="T379" s="25" t="n">
        <x:f>R379*S379</x:f>
        <x:v>0</x:v>
      </x:c>
      <x:c r="U379" s="24" t="str">
        <x:f>IF(T379&gt;0,"ERREUR chevauchement","OK aucun chevauchement")</x:f>
        <x:v>OK aucun chevauchement</x:v>
      </x:c>
      <x:c r="V379" s="24" t="str">
        <x:v>OK aucun chevauchement</x:v>
      </x:c>
      <x:c r="W379" s="24" t="str">
        <x:v>Si ERREUR : déplacer/redimensionner l’objet B ou créer un bookmark/masquage</x:v>
      </x:c>
    </x:row>
    <x:row r="380">
      <x:c r="A380" s="24" t="str">
        <x:v>Alertes</x:v>
      </x:c>
      <x:c r="B380" s="24" t="str">
        <x:v>G00_Header_Global</x:v>
      </x:c>
      <x:c r="C380" s="24" t="str">
        <x:v>Header_Global</x:v>
      </x:c>
      <x:c r="D380" s="24" t="str">
        <x:v>G03_KPI_Row</x:v>
      </x:c>
      <x:c r="E380" s="24" t="str">
        <x:v>KPI_Card_01</x:v>
      </x:c>
      <x:c r="F380" s="25" t="n">
        <x:v>0</x:v>
      </x:c>
      <x:c r="G380" s="25" t="n">
        <x:v>0</x:v>
      </x:c>
      <x:c r="H380" s="25" t="n">
        <x:v>1540</x:v>
      </x:c>
      <x:c r="I380" s="25" t="n">
        <x:v>88</x:v>
      </x:c>
      <x:c r="J380" s="25" t="n">
        <x:f>F380+H380</x:f>
        <x:v>1540</x:v>
      </x:c>
      <x:c r="K380" s="25" t="n">
        <x:f>G380+I380</x:f>
        <x:v>88</x:v>
      </x:c>
      <x:c r="L380" s="25" t="n">
        <x:v>20</x:v>
      </x:c>
      <x:c r="M380" s="25" t="n">
        <x:v>330</x:v>
      </x:c>
      <x:c r="N380" s="25" t="n">
        <x:v>287</x:v>
      </x:c>
      <x:c r="O380" s="25" t="n">
        <x:v>180</x:v>
      </x:c>
      <x:c r="P380" s="25" t="n">
        <x:f>L380+N380</x:f>
        <x:v>307</x:v>
      </x:c>
      <x:c r="Q380" s="25" t="n">
        <x:f>M380+O380</x:f>
        <x:v>510</x:v>
      </x:c>
      <x:c r="R380" s="25" t="n">
        <x:f>MAX(0,MIN(J380,P380)-MAX(F380,L380))</x:f>
        <x:v>287</x:v>
      </x:c>
      <x:c r="S380" s="25" t="n">
        <x:f>MAX(0,MIN(K380,Q380)-MAX(G380,M380))</x:f>
        <x:v>0</x:v>
      </x:c>
      <x:c r="T380" s="25" t="n">
        <x:f>R380*S380</x:f>
        <x:v>0</x:v>
      </x:c>
      <x:c r="U380" s="24" t="str">
        <x:f>IF(T380&gt;0,"ERREUR chevauchement","OK aucun chevauchement")</x:f>
        <x:v>OK aucun chevauchement</x:v>
      </x:c>
      <x:c r="V380" s="24" t="str">
        <x:v>OK aucun chevauchement</x:v>
      </x:c>
      <x:c r="W380" s="24" t="str">
        <x:v>Si ERREUR : déplacer/redimensionner l’objet B ou créer un bookmark/masquage</x:v>
      </x:c>
    </x:row>
    <x:row r="381">
      <x:c r="A381" s="24" t="str">
        <x:v>Alertes</x:v>
      </x:c>
      <x:c r="B381" s="24" t="str">
        <x:v>G00_Header_Global</x:v>
      </x:c>
      <x:c r="C381" s="24" t="str">
        <x:v>Header_Global</x:v>
      </x:c>
      <x:c r="D381" s="24" t="str">
        <x:v>G03_KPI_Row</x:v>
      </x:c>
      <x:c r="E381" s="24" t="str">
        <x:v>KPI_Card_02</x:v>
      </x:c>
      <x:c r="F381" s="25" t="n">
        <x:v>0</x:v>
      </x:c>
      <x:c r="G381" s="25" t="n">
        <x:v>0</x:v>
      </x:c>
      <x:c r="H381" s="25" t="n">
        <x:v>1540</x:v>
      </x:c>
      <x:c r="I381" s="25" t="n">
        <x:v>88</x:v>
      </x:c>
      <x:c r="J381" s="25" t="n">
        <x:f>F381+H381</x:f>
        <x:v>1540</x:v>
      </x:c>
      <x:c r="K381" s="25" t="n">
        <x:f>G381+I381</x:f>
        <x:v>88</x:v>
      </x:c>
      <x:c r="L381" s="25" t="n">
        <x:v>323</x:v>
      </x:c>
      <x:c r="M381" s="25" t="n">
        <x:v>330</x:v>
      </x:c>
      <x:c r="N381" s="25" t="n">
        <x:v>287</x:v>
      </x:c>
      <x:c r="O381" s="25" t="n">
        <x:v>180</x:v>
      </x:c>
      <x:c r="P381" s="25" t="n">
        <x:f>L381+N381</x:f>
        <x:v>610</x:v>
      </x:c>
      <x:c r="Q381" s="25" t="n">
        <x:f>M381+O381</x:f>
        <x:v>510</x:v>
      </x:c>
      <x:c r="R381" s="25" t="n">
        <x:f>MAX(0,MIN(J381,P381)-MAX(F381,L381))</x:f>
        <x:v>287</x:v>
      </x:c>
      <x:c r="S381" s="25" t="n">
        <x:f>MAX(0,MIN(K381,Q381)-MAX(G381,M381))</x:f>
        <x:v>0</x:v>
      </x:c>
      <x:c r="T381" s="25" t="n">
        <x:f>R381*S381</x:f>
        <x:v>0</x:v>
      </x:c>
      <x:c r="U381" s="24" t="str">
        <x:f>IF(T381&gt;0,"ERREUR chevauchement","OK aucun chevauchement")</x:f>
        <x:v>OK aucun chevauchement</x:v>
      </x:c>
      <x:c r="V381" s="24" t="str">
        <x:v>OK aucun chevauchement</x:v>
      </x:c>
      <x:c r="W381" s="24" t="str">
        <x:v>Si ERREUR : déplacer/redimensionner l’objet B ou créer un bookmark/masquage</x:v>
      </x:c>
    </x:row>
    <x:row r="382">
      <x:c r="A382" s="24" t="str">
        <x:v>Alertes</x:v>
      </x:c>
      <x:c r="B382" s="24" t="str">
        <x:v>G00_Header_Global</x:v>
      </x:c>
      <x:c r="C382" s="24" t="str">
        <x:v>Header_Global</x:v>
      </x:c>
      <x:c r="D382" s="24" t="str">
        <x:v>G03_KPI_Row</x:v>
      </x:c>
      <x:c r="E382" s="24" t="str">
        <x:v>KPI_Card_03</x:v>
      </x:c>
      <x:c r="F382" s="25" t="n">
        <x:v>0</x:v>
      </x:c>
      <x:c r="G382" s="25" t="n">
        <x:v>0</x:v>
      </x:c>
      <x:c r="H382" s="25" t="n">
        <x:v>1540</x:v>
      </x:c>
      <x:c r="I382" s="25" t="n">
        <x:v>88</x:v>
      </x:c>
      <x:c r="J382" s="25" t="n">
        <x:f>F382+H382</x:f>
        <x:v>1540</x:v>
      </x:c>
      <x:c r="K382" s="25" t="n">
        <x:f>G382+I382</x:f>
        <x:v>88</x:v>
      </x:c>
      <x:c r="L382" s="25" t="n">
        <x:v>626</x:v>
      </x:c>
      <x:c r="M382" s="25" t="n">
        <x:v>330</x:v>
      </x:c>
      <x:c r="N382" s="25" t="n">
        <x:v>287</x:v>
      </x:c>
      <x:c r="O382" s="25" t="n">
        <x:v>180</x:v>
      </x:c>
      <x:c r="P382" s="25" t="n">
        <x:f>L382+N382</x:f>
        <x:v>913</x:v>
      </x:c>
      <x:c r="Q382" s="25" t="n">
        <x:f>M382+O382</x:f>
        <x:v>510</x:v>
      </x:c>
      <x:c r="R382" s="25" t="n">
        <x:f>MAX(0,MIN(J382,P382)-MAX(F382,L382))</x:f>
        <x:v>287</x:v>
      </x:c>
      <x:c r="S382" s="25" t="n">
        <x:f>MAX(0,MIN(K382,Q382)-MAX(G382,M382))</x:f>
        <x:v>0</x:v>
      </x:c>
      <x:c r="T382" s="25" t="n">
        <x:f>R382*S382</x:f>
        <x:v>0</x:v>
      </x:c>
      <x:c r="U382" s="24" t="str">
        <x:f>IF(T382&gt;0,"ERREUR chevauchement","OK aucun chevauchement")</x:f>
        <x:v>OK aucun chevauchement</x:v>
      </x:c>
      <x:c r="V382" s="24" t="str">
        <x:v>OK aucun chevauchement</x:v>
      </x:c>
      <x:c r="W382" s="24" t="str">
        <x:v>Si ERREUR : déplacer/redimensionner l’objet B ou créer un bookmark/masquage</x:v>
      </x:c>
    </x:row>
    <x:row r="383">
      <x:c r="A383" s="24" t="str">
        <x:v>Alertes</x:v>
      </x:c>
      <x:c r="B383" s="24" t="str">
        <x:v>G00_Header_Global</x:v>
      </x:c>
      <x:c r="C383" s="24" t="str">
        <x:v>Header_Global</x:v>
      </x:c>
      <x:c r="D383" s="24" t="str">
        <x:v>G03_KPI_Row</x:v>
      </x:c>
      <x:c r="E383" s="24" t="str">
        <x:v>KPI_Card_04</x:v>
      </x:c>
      <x:c r="F383" s="25" t="n">
        <x:v>0</x:v>
      </x:c>
      <x:c r="G383" s="25" t="n">
        <x:v>0</x:v>
      </x:c>
      <x:c r="H383" s="25" t="n">
        <x:v>1540</x:v>
      </x:c>
      <x:c r="I383" s="25" t="n">
        <x:v>88</x:v>
      </x:c>
      <x:c r="J383" s="25" t="n">
        <x:f>F383+H383</x:f>
        <x:v>1540</x:v>
      </x:c>
      <x:c r="K383" s="25" t="n">
        <x:f>G383+I383</x:f>
        <x:v>88</x:v>
      </x:c>
      <x:c r="L383" s="25" t="n">
        <x:v>929</x:v>
      </x:c>
      <x:c r="M383" s="25" t="n">
        <x:v>330</x:v>
      </x:c>
      <x:c r="N383" s="25" t="n">
        <x:v>287</x:v>
      </x:c>
      <x:c r="O383" s="25" t="n">
        <x:v>180</x:v>
      </x:c>
      <x:c r="P383" s="25" t="n">
        <x:f>L383+N383</x:f>
        <x:v>1216</x:v>
      </x:c>
      <x:c r="Q383" s="25" t="n">
        <x:f>M383+O383</x:f>
        <x:v>510</x:v>
      </x:c>
      <x:c r="R383" s="25" t="n">
        <x:f>MAX(0,MIN(J383,P383)-MAX(F383,L383))</x:f>
        <x:v>287</x:v>
      </x:c>
      <x:c r="S383" s="25" t="n">
        <x:f>MAX(0,MIN(K383,Q383)-MAX(G383,M383))</x:f>
        <x:v>0</x:v>
      </x:c>
      <x:c r="T383" s="25" t="n">
        <x:f>R383*S383</x:f>
        <x:v>0</x:v>
      </x:c>
      <x:c r="U383" s="24" t="str">
        <x:f>IF(T383&gt;0,"ERREUR chevauchement","OK aucun chevauchement")</x:f>
        <x:v>OK aucun chevauchement</x:v>
      </x:c>
      <x:c r="V383" s="24" t="str">
        <x:v>OK aucun chevauchement</x:v>
      </x:c>
      <x:c r="W383" s="24" t="str">
        <x:v>Si ERREUR : déplacer/redimensionner l’objet B ou créer un bookmark/masquage</x:v>
      </x:c>
    </x:row>
    <x:row r="384">
      <x:c r="A384" s="24" t="str">
        <x:v>Alertes</x:v>
      </x:c>
      <x:c r="B384" s="24" t="str">
        <x:v>G00_Header_Global</x:v>
      </x:c>
      <x:c r="C384" s="24" t="str">
        <x:v>Header_Global</x:v>
      </x:c>
      <x:c r="D384" s="24" t="str">
        <x:v>G03_KPI_Row</x:v>
      </x:c>
      <x:c r="E384" s="24" t="str">
        <x:v>KPI_Card_05</x:v>
      </x:c>
      <x:c r="F384" s="25" t="n">
        <x:v>0</x:v>
      </x:c>
      <x:c r="G384" s="25" t="n">
        <x:v>0</x:v>
      </x:c>
      <x:c r="H384" s="25" t="n">
        <x:v>1540</x:v>
      </x:c>
      <x:c r="I384" s="25" t="n">
        <x:v>88</x:v>
      </x:c>
      <x:c r="J384" s="25" t="n">
        <x:f>F384+H384</x:f>
        <x:v>1540</x:v>
      </x:c>
      <x:c r="K384" s="25" t="n">
        <x:f>G384+I384</x:f>
        <x:v>88</x:v>
      </x:c>
      <x:c r="L384" s="25" t="n">
        <x:v>1232</x:v>
      </x:c>
      <x:c r="M384" s="25" t="n">
        <x:v>330</x:v>
      </x:c>
      <x:c r="N384" s="25" t="n">
        <x:v>287</x:v>
      </x:c>
      <x:c r="O384" s="25" t="n">
        <x:v>180</x:v>
      </x:c>
      <x:c r="P384" s="25" t="n">
        <x:f>L384+N384</x:f>
        <x:v>1519</x:v>
      </x:c>
      <x:c r="Q384" s="25" t="n">
        <x:f>M384+O384</x:f>
        <x:v>510</x:v>
      </x:c>
      <x:c r="R384" s="25" t="n">
        <x:f>MAX(0,MIN(J384,P384)-MAX(F384,L384))</x:f>
        <x:v>287</x:v>
      </x:c>
      <x:c r="S384" s="25" t="n">
        <x:f>MAX(0,MIN(K384,Q384)-MAX(G384,M384))</x:f>
        <x:v>0</x:v>
      </x:c>
      <x:c r="T384" s="25" t="n">
        <x:f>R384*S384</x:f>
        <x:v>0</x:v>
      </x:c>
      <x:c r="U384" s="24" t="str">
        <x:f>IF(T384&gt;0,"ERREUR chevauchement","OK aucun chevauchement")</x:f>
        <x:v>OK aucun chevauchement</x:v>
      </x:c>
      <x:c r="V384" s="24" t="str">
        <x:v>OK aucun chevauchement</x:v>
      </x:c>
      <x:c r="W384" s="24" t="str">
        <x:v>Si ERREUR : déplacer/redimensionner l’objet B ou créer un bookmark/masquage</x:v>
      </x:c>
    </x:row>
    <x:row r="385">
      <x:c r="A385" s="24" t="str">
        <x:v>Alertes</x:v>
      </x:c>
      <x:c r="B385" s="24" t="str">
        <x:v>G00_Header_Global</x:v>
      </x:c>
      <x:c r="C385" s="24" t="str">
        <x:v>Header_Global</x:v>
      </x:c>
      <x:c r="D385" s="24" t="str">
        <x:v>G04_Alertes</x:v>
      </x:c>
      <x:c r="E385" s="24" t="str">
        <x:v>Bloc_Niveaux_Alerte</x:v>
      </x:c>
      <x:c r="F385" s="25" t="n">
        <x:v>0</x:v>
      </x:c>
      <x:c r="G385" s="25" t="n">
        <x:v>0</x:v>
      </x:c>
      <x:c r="H385" s="25" t="n">
        <x:v>1540</x:v>
      </x:c>
      <x:c r="I385" s="25" t="n">
        <x:v>88</x:v>
      </x:c>
      <x:c r="J385" s="25" t="n">
        <x:f>F385+H385</x:f>
        <x:v>1540</x:v>
      </x:c>
      <x:c r="K385" s="25" t="n">
        <x:f>G385+I385</x:f>
        <x:v>88</x:v>
      </x:c>
      <x:c r="L385" s="25" t="n">
        <x:v>20</x:v>
      </x:c>
      <x:c r="M385" s="25" t="n">
        <x:v>535</x:v>
      </x:c>
      <x:c r="N385" s="25" t="n">
        <x:v>742</x:v>
      </x:c>
      <x:c r="O385" s="25" t="n">
        <x:v>330</x:v>
      </x:c>
      <x:c r="P385" s="25" t="n">
        <x:f>L385+N385</x:f>
        <x:v>762</x:v>
      </x:c>
      <x:c r="Q385" s="25" t="n">
        <x:f>M385+O385</x:f>
        <x:v>865</x:v>
      </x:c>
      <x:c r="R385" s="25" t="n">
        <x:f>MAX(0,MIN(J385,P385)-MAX(F385,L385))</x:f>
        <x:v>742</x:v>
      </x:c>
      <x:c r="S385" s="25" t="n">
        <x:f>MAX(0,MIN(K385,Q385)-MAX(G385,M385))</x:f>
        <x:v>0</x:v>
      </x:c>
      <x:c r="T385" s="25" t="n">
        <x:f>R385*S385</x:f>
        <x:v>0</x:v>
      </x:c>
      <x:c r="U385" s="24" t="str">
        <x:f>IF(T385&gt;0,"ERREUR chevauchement","OK aucun chevauchement")</x:f>
        <x:v>OK aucun chevauchement</x:v>
      </x:c>
      <x:c r="V385" s="24" t="str">
        <x:v>OK aucun chevauchement</x:v>
      </x:c>
      <x:c r="W385" s="24" t="str">
        <x:v>Si ERREUR : déplacer/redimensionner l’objet B ou créer un bookmark/masquage</x:v>
      </x:c>
    </x:row>
    <x:row r="386">
      <x:c r="A386" s="24" t="str">
        <x:v>Alertes</x:v>
      </x:c>
      <x:c r="B386" s="24" t="str">
        <x:v>G00_Header_Global</x:v>
      </x:c>
      <x:c r="C386" s="24" t="str">
        <x:v>Header_Global</x:v>
      </x:c>
      <x:c r="D386" s="24" t="str">
        <x:v>G04_Alertes</x:v>
      </x:c>
      <x:c r="E386" s="24" t="str">
        <x:v>Bloc_Recommandation</x:v>
      </x:c>
      <x:c r="F386" s="25" t="n">
        <x:v>0</x:v>
      </x:c>
      <x:c r="G386" s="25" t="n">
        <x:v>0</x:v>
      </x:c>
      <x:c r="H386" s="25" t="n">
        <x:v>1540</x:v>
      </x:c>
      <x:c r="I386" s="25" t="n">
        <x:v>88</x:v>
      </x:c>
      <x:c r="J386" s="25" t="n">
        <x:f>F386+H386</x:f>
        <x:v>1540</x:v>
      </x:c>
      <x:c r="K386" s="25" t="n">
        <x:f>G386+I386</x:f>
        <x:v>88</x:v>
      </x:c>
      <x:c r="L386" s="25" t="n">
        <x:v>778</x:v>
      </x:c>
      <x:c r="M386" s="25" t="n">
        <x:v>535</x:v>
      </x:c>
      <x:c r="N386" s="25" t="n">
        <x:v>742</x:v>
      </x:c>
      <x:c r="O386" s="25" t="n">
        <x:v>330</x:v>
      </x:c>
      <x:c r="P386" s="25" t="n">
        <x:f>L386+N386</x:f>
        <x:v>1520</x:v>
      </x:c>
      <x:c r="Q386" s="25" t="n">
        <x:f>M386+O386</x:f>
        <x:v>865</x:v>
      </x:c>
      <x:c r="R386" s="25" t="n">
        <x:f>MAX(0,MIN(J386,P386)-MAX(F386,L386))</x:f>
        <x:v>742</x:v>
      </x:c>
      <x:c r="S386" s="25" t="n">
        <x:f>MAX(0,MIN(K386,Q386)-MAX(G386,M386))</x:f>
        <x:v>0</x:v>
      </x:c>
      <x:c r="T386" s="25" t="n">
        <x:f>R386*S386</x:f>
        <x:v>0</x:v>
      </x:c>
      <x:c r="U386" s="24" t="str">
        <x:f>IF(T386&gt;0,"ERREUR chevauchement","OK aucun chevauchement")</x:f>
        <x:v>OK aucun chevauchement</x:v>
      </x:c>
      <x:c r="V386" s="24" t="str">
        <x:v>OK aucun chevauchement</x:v>
      </x:c>
      <x:c r="W386" s="24" t="str">
        <x:v>Si ERREUR : déplacer/redimensionner l’objet B ou créer un bookmark/masquage</x:v>
      </x:c>
    </x:row>
    <x:row r="387">
      <x:c r="A387" s="24" t="str">
        <x:v>Alertes</x:v>
      </x:c>
      <x:c r="B387" s="24" t="str">
        <x:v>G00_Header_Global</x:v>
      </x:c>
      <x:c r="C387" s="24" t="str">
        <x:v>Header_Global</x:v>
      </x:c>
      <x:c r="D387" s="24" t="str">
        <x:v>G05_Table</x:v>
      </x:c>
      <x:c r="E387" s="24" t="str">
        <x:v>Table_Detail_Alertes</x:v>
      </x:c>
      <x:c r="F387" s="25" t="n">
        <x:v>0</x:v>
      </x:c>
      <x:c r="G387" s="25" t="n">
        <x:v>0</x:v>
      </x:c>
      <x:c r="H387" s="25" t="n">
        <x:v>1540</x:v>
      </x:c>
      <x:c r="I387" s="25" t="n">
        <x:v>88</x:v>
      </x:c>
      <x:c r="J387" s="25" t="n">
        <x:f>F387+H387</x:f>
        <x:v>1540</x:v>
      </x:c>
      <x:c r="K387" s="25" t="n">
        <x:f>G387+I387</x:f>
        <x:v>88</x:v>
      </x:c>
      <x:c r="L387" s="25" t="n">
        <x:v>20</x:v>
      </x:c>
      <x:c r="M387" s="25" t="n">
        <x:v>885</x:v>
      </x:c>
      <x:c r="N387" s="25" t="n">
        <x:v>1500</x:v>
      </x:c>
      <x:c r="O387" s="25" t="n">
        <x:v>430</x:v>
      </x:c>
      <x:c r="P387" s="25" t="n">
        <x:f>L387+N387</x:f>
        <x:v>1520</x:v>
      </x:c>
      <x:c r="Q387" s="25" t="n">
        <x:f>M387+O387</x:f>
        <x:v>1315</x:v>
      </x:c>
      <x:c r="R387" s="25" t="n">
        <x:f>MAX(0,MIN(J387,P387)-MAX(F387,L387))</x:f>
        <x:v>1500</x:v>
      </x:c>
      <x:c r="S387" s="25" t="n">
        <x:f>MAX(0,MIN(K387,Q387)-MAX(G387,M387))</x:f>
        <x:v>0</x:v>
      </x:c>
      <x:c r="T387" s="25" t="n">
        <x:f>R387*S387</x:f>
        <x:v>0</x:v>
      </x:c>
      <x:c r="U387" s="24" t="str">
        <x:f>IF(T387&gt;0,"ERREUR chevauchement","OK aucun chevauchement")</x:f>
        <x:v>OK aucun chevauchement</x:v>
      </x:c>
      <x:c r="V387" s="24" t="str">
        <x:v>OK aucun chevauchement</x:v>
      </x:c>
      <x:c r="W387" s="24" t="str">
        <x:v>Si ERREUR : déplacer/redimensionner l’objet B ou créer un bookmark/masquage</x:v>
      </x:c>
    </x:row>
    <x:row r="388">
      <x:c r="A388" s="24" t="str">
        <x:v>Alertes</x:v>
      </x:c>
      <x:c r="B388" s="24" t="str">
        <x:v>G01_Title_Zone</x:v>
      </x:c>
      <x:c r="C388" s="24" t="str">
        <x:v>Title_Zone</x:v>
      </x:c>
      <x:c r="D388" s="24" t="str">
        <x:v>G02_Toolbar</x:v>
      </x:c>
      <x:c r="E388" s="24" t="str">
        <x:v>Toolbar_Slicers_FieldParams</x:v>
      </x:c>
      <x:c r="F388" s="25" t="n">
        <x:v>20</x:v>
      </x:c>
      <x:c r="G388" s="25" t="n">
        <x:v>110</x:v>
      </x:c>
      <x:c r="H388" s="25" t="n">
        <x:v>1500</x:v>
      </x:c>
      <x:c r="I388" s="25" t="n">
        <x:v>132</x:v>
      </x:c>
      <x:c r="J388" s="25" t="n">
        <x:f>F388+H388</x:f>
        <x:v>1520</x:v>
      </x:c>
      <x:c r="K388" s="25" t="n">
        <x:f>G388+I388</x:f>
        <x:v>242</x:v>
      </x:c>
      <x:c r="L388" s="25" t="n">
        <x:v>20</x:v>
      </x:c>
      <x:c r="M388" s="25" t="n">
        <x:v>260</x:v>
      </x:c>
      <x:c r="N388" s="25" t="n">
        <x:v>1500</x:v>
      </x:c>
      <x:c r="O388" s="25" t="n">
        <x:v>56</x:v>
      </x:c>
      <x:c r="P388" s="25" t="n">
        <x:f>L388+N388</x:f>
        <x:v>1520</x:v>
      </x:c>
      <x:c r="Q388" s="25" t="n">
        <x:f>M388+O388</x:f>
        <x:v>316</x:v>
      </x:c>
      <x:c r="R388" s="25" t="n">
        <x:f>MAX(0,MIN(J388,P388)-MAX(F388,L388))</x:f>
        <x:v>1500</x:v>
      </x:c>
      <x:c r="S388" s="25" t="n">
        <x:f>MAX(0,MIN(K388,Q388)-MAX(G388,M388))</x:f>
        <x:v>0</x:v>
      </x:c>
      <x:c r="T388" s="25" t="n">
        <x:f>R388*S388</x:f>
        <x:v>0</x:v>
      </x:c>
      <x:c r="U388" s="24" t="str">
        <x:f>IF(T388&gt;0,"ERREUR chevauchement","OK aucun chevauchement")</x:f>
        <x:v>OK aucun chevauchement</x:v>
      </x:c>
      <x:c r="V388" s="24" t="str">
        <x:v>OK aucun chevauchement</x:v>
      </x:c>
      <x:c r="W388" s="24" t="str">
        <x:v>Si ERREUR : déplacer/redimensionner l’objet B ou créer un bookmark/masquage</x:v>
      </x:c>
    </x:row>
    <x:row r="389">
      <x:c r="A389" s="24" t="str">
        <x:v>Alertes</x:v>
      </x:c>
      <x:c r="B389" s="24" t="str">
        <x:v>G01_Title_Zone</x:v>
      </x:c>
      <x:c r="C389" s="24" t="str">
        <x:v>Title_Zone</x:v>
      </x:c>
      <x:c r="D389" s="24" t="str">
        <x:v>G03_KPI_Row</x:v>
      </x:c>
      <x:c r="E389" s="24" t="str">
        <x:v>KPI_Card_01</x:v>
      </x:c>
      <x:c r="F389" s="25" t="n">
        <x:v>20</x:v>
      </x:c>
      <x:c r="G389" s="25" t="n">
        <x:v>110</x:v>
      </x:c>
      <x:c r="H389" s="25" t="n">
        <x:v>1500</x:v>
      </x:c>
      <x:c r="I389" s="25" t="n">
        <x:v>132</x:v>
      </x:c>
      <x:c r="J389" s="25" t="n">
        <x:f>F389+H389</x:f>
        <x:v>1520</x:v>
      </x:c>
      <x:c r="K389" s="25" t="n">
        <x:f>G389+I389</x:f>
        <x:v>242</x:v>
      </x:c>
      <x:c r="L389" s="25" t="n">
        <x:v>20</x:v>
      </x:c>
      <x:c r="M389" s="25" t="n">
        <x:v>330</x:v>
      </x:c>
      <x:c r="N389" s="25" t="n">
        <x:v>287</x:v>
      </x:c>
      <x:c r="O389" s="25" t="n">
        <x:v>180</x:v>
      </x:c>
      <x:c r="P389" s="25" t="n">
        <x:f>L389+N389</x:f>
        <x:v>307</x:v>
      </x:c>
      <x:c r="Q389" s="25" t="n">
        <x:f>M389+O389</x:f>
        <x:v>510</x:v>
      </x:c>
      <x:c r="R389" s="25" t="n">
        <x:f>MAX(0,MIN(J389,P389)-MAX(F389,L389))</x:f>
        <x:v>287</x:v>
      </x:c>
      <x:c r="S389" s="25" t="n">
        <x:f>MAX(0,MIN(K389,Q389)-MAX(G389,M389))</x:f>
        <x:v>0</x:v>
      </x:c>
      <x:c r="T389" s="25" t="n">
        <x:f>R389*S389</x:f>
        <x:v>0</x:v>
      </x:c>
      <x:c r="U389" s="24" t="str">
        <x:f>IF(T389&gt;0,"ERREUR chevauchement","OK aucun chevauchement")</x:f>
        <x:v>OK aucun chevauchement</x:v>
      </x:c>
      <x:c r="V389" s="24" t="str">
        <x:v>OK aucun chevauchement</x:v>
      </x:c>
      <x:c r="W389" s="24" t="str">
        <x:v>Si ERREUR : déplacer/redimensionner l’objet B ou créer un bookmark/masquage</x:v>
      </x:c>
    </x:row>
    <x:row r="390">
      <x:c r="A390" s="24" t="str">
        <x:v>Alertes</x:v>
      </x:c>
      <x:c r="B390" s="24" t="str">
        <x:v>G01_Title_Zone</x:v>
      </x:c>
      <x:c r="C390" s="24" t="str">
        <x:v>Title_Zone</x:v>
      </x:c>
      <x:c r="D390" s="24" t="str">
        <x:v>G03_KPI_Row</x:v>
      </x:c>
      <x:c r="E390" s="24" t="str">
        <x:v>KPI_Card_02</x:v>
      </x:c>
      <x:c r="F390" s="25" t="n">
        <x:v>20</x:v>
      </x:c>
      <x:c r="G390" s="25" t="n">
        <x:v>110</x:v>
      </x:c>
      <x:c r="H390" s="25" t="n">
        <x:v>1500</x:v>
      </x:c>
      <x:c r="I390" s="25" t="n">
        <x:v>132</x:v>
      </x:c>
      <x:c r="J390" s="25" t="n">
        <x:f>F390+H390</x:f>
        <x:v>1520</x:v>
      </x:c>
      <x:c r="K390" s="25" t="n">
        <x:f>G390+I390</x:f>
        <x:v>242</x:v>
      </x:c>
      <x:c r="L390" s="25" t="n">
        <x:v>323</x:v>
      </x:c>
      <x:c r="M390" s="25" t="n">
        <x:v>330</x:v>
      </x:c>
      <x:c r="N390" s="25" t="n">
        <x:v>287</x:v>
      </x:c>
      <x:c r="O390" s="25" t="n">
        <x:v>180</x:v>
      </x:c>
      <x:c r="P390" s="25" t="n">
        <x:f>L390+N390</x:f>
        <x:v>610</x:v>
      </x:c>
      <x:c r="Q390" s="25" t="n">
        <x:f>M390+O390</x:f>
        <x:v>510</x:v>
      </x:c>
      <x:c r="R390" s="25" t="n">
        <x:f>MAX(0,MIN(J390,P390)-MAX(F390,L390))</x:f>
        <x:v>287</x:v>
      </x:c>
      <x:c r="S390" s="25" t="n">
        <x:f>MAX(0,MIN(K390,Q390)-MAX(G390,M390))</x:f>
        <x:v>0</x:v>
      </x:c>
      <x:c r="T390" s="25" t="n">
        <x:f>R390*S390</x:f>
        <x:v>0</x:v>
      </x:c>
      <x:c r="U390" s="24" t="str">
        <x:f>IF(T390&gt;0,"ERREUR chevauchement","OK aucun chevauchement")</x:f>
        <x:v>OK aucun chevauchement</x:v>
      </x:c>
      <x:c r="V390" s="24" t="str">
        <x:v>OK aucun chevauchement</x:v>
      </x:c>
      <x:c r="W390" s="24" t="str">
        <x:v>Si ERREUR : déplacer/redimensionner l’objet B ou créer un bookmark/masquage</x:v>
      </x:c>
    </x:row>
    <x:row r="391">
      <x:c r="A391" s="24" t="str">
        <x:v>Alertes</x:v>
      </x:c>
      <x:c r="B391" s="24" t="str">
        <x:v>G01_Title_Zone</x:v>
      </x:c>
      <x:c r="C391" s="24" t="str">
        <x:v>Title_Zone</x:v>
      </x:c>
      <x:c r="D391" s="24" t="str">
        <x:v>G03_KPI_Row</x:v>
      </x:c>
      <x:c r="E391" s="24" t="str">
        <x:v>KPI_Card_03</x:v>
      </x:c>
      <x:c r="F391" s="25" t="n">
        <x:v>20</x:v>
      </x:c>
      <x:c r="G391" s="25" t="n">
        <x:v>110</x:v>
      </x:c>
      <x:c r="H391" s="25" t="n">
        <x:v>1500</x:v>
      </x:c>
      <x:c r="I391" s="25" t="n">
        <x:v>132</x:v>
      </x:c>
      <x:c r="J391" s="25" t="n">
        <x:f>F391+H391</x:f>
        <x:v>1520</x:v>
      </x:c>
      <x:c r="K391" s="25" t="n">
        <x:f>G391+I391</x:f>
        <x:v>242</x:v>
      </x:c>
      <x:c r="L391" s="25" t="n">
        <x:v>626</x:v>
      </x:c>
      <x:c r="M391" s="25" t="n">
        <x:v>330</x:v>
      </x:c>
      <x:c r="N391" s="25" t="n">
        <x:v>287</x:v>
      </x:c>
      <x:c r="O391" s="25" t="n">
        <x:v>180</x:v>
      </x:c>
      <x:c r="P391" s="25" t="n">
        <x:f>L391+N391</x:f>
        <x:v>913</x:v>
      </x:c>
      <x:c r="Q391" s="25" t="n">
        <x:f>M391+O391</x:f>
        <x:v>510</x:v>
      </x:c>
      <x:c r="R391" s="25" t="n">
        <x:f>MAX(0,MIN(J391,P391)-MAX(F391,L391))</x:f>
        <x:v>287</x:v>
      </x:c>
      <x:c r="S391" s="25" t="n">
        <x:f>MAX(0,MIN(K391,Q391)-MAX(G391,M391))</x:f>
        <x:v>0</x:v>
      </x:c>
      <x:c r="T391" s="25" t="n">
        <x:f>R391*S391</x:f>
        <x:v>0</x:v>
      </x:c>
      <x:c r="U391" s="24" t="str">
        <x:f>IF(T391&gt;0,"ERREUR chevauchement","OK aucun chevauchement")</x:f>
        <x:v>OK aucun chevauchement</x:v>
      </x:c>
      <x:c r="V391" s="24" t="str">
        <x:v>OK aucun chevauchement</x:v>
      </x:c>
      <x:c r="W391" s="24" t="str">
        <x:v>Si ERREUR : déplacer/redimensionner l’objet B ou créer un bookmark/masquage</x:v>
      </x:c>
    </x:row>
    <x:row r="392">
      <x:c r="A392" s="24" t="str">
        <x:v>Alertes</x:v>
      </x:c>
      <x:c r="B392" s="24" t="str">
        <x:v>G01_Title_Zone</x:v>
      </x:c>
      <x:c r="C392" s="24" t="str">
        <x:v>Title_Zone</x:v>
      </x:c>
      <x:c r="D392" s="24" t="str">
        <x:v>G03_KPI_Row</x:v>
      </x:c>
      <x:c r="E392" s="24" t="str">
        <x:v>KPI_Card_04</x:v>
      </x:c>
      <x:c r="F392" s="25" t="n">
        <x:v>20</x:v>
      </x:c>
      <x:c r="G392" s="25" t="n">
        <x:v>110</x:v>
      </x:c>
      <x:c r="H392" s="25" t="n">
        <x:v>1500</x:v>
      </x:c>
      <x:c r="I392" s="25" t="n">
        <x:v>132</x:v>
      </x:c>
      <x:c r="J392" s="25" t="n">
        <x:f>F392+H392</x:f>
        <x:v>1520</x:v>
      </x:c>
      <x:c r="K392" s="25" t="n">
        <x:f>G392+I392</x:f>
        <x:v>242</x:v>
      </x:c>
      <x:c r="L392" s="25" t="n">
        <x:v>929</x:v>
      </x:c>
      <x:c r="M392" s="25" t="n">
        <x:v>330</x:v>
      </x:c>
      <x:c r="N392" s="25" t="n">
        <x:v>287</x:v>
      </x:c>
      <x:c r="O392" s="25" t="n">
        <x:v>180</x:v>
      </x:c>
      <x:c r="P392" s="25" t="n">
        <x:f>L392+N392</x:f>
        <x:v>1216</x:v>
      </x:c>
      <x:c r="Q392" s="25" t="n">
        <x:f>M392+O392</x:f>
        <x:v>510</x:v>
      </x:c>
      <x:c r="R392" s="25" t="n">
        <x:f>MAX(0,MIN(J392,P392)-MAX(F392,L392))</x:f>
        <x:v>287</x:v>
      </x:c>
      <x:c r="S392" s="25" t="n">
        <x:f>MAX(0,MIN(K392,Q392)-MAX(G392,M392))</x:f>
        <x:v>0</x:v>
      </x:c>
      <x:c r="T392" s="25" t="n">
        <x:f>R392*S392</x:f>
        <x:v>0</x:v>
      </x:c>
      <x:c r="U392" s="24" t="str">
        <x:f>IF(T392&gt;0,"ERREUR chevauchement","OK aucun chevauchement")</x:f>
        <x:v>OK aucun chevauchement</x:v>
      </x:c>
      <x:c r="V392" s="24" t="str">
        <x:v>OK aucun chevauchement</x:v>
      </x:c>
      <x:c r="W392" s="24" t="str">
        <x:v>Si ERREUR : déplacer/redimensionner l’objet B ou créer un bookmark/masquage</x:v>
      </x:c>
    </x:row>
    <x:row r="393">
      <x:c r="A393" s="24" t="str">
        <x:v>Alertes</x:v>
      </x:c>
      <x:c r="B393" s="24" t="str">
        <x:v>G01_Title_Zone</x:v>
      </x:c>
      <x:c r="C393" s="24" t="str">
        <x:v>Title_Zone</x:v>
      </x:c>
      <x:c r="D393" s="24" t="str">
        <x:v>G03_KPI_Row</x:v>
      </x:c>
      <x:c r="E393" s="24" t="str">
        <x:v>KPI_Card_05</x:v>
      </x:c>
      <x:c r="F393" s="25" t="n">
        <x:v>20</x:v>
      </x:c>
      <x:c r="G393" s="25" t="n">
        <x:v>110</x:v>
      </x:c>
      <x:c r="H393" s="25" t="n">
        <x:v>1500</x:v>
      </x:c>
      <x:c r="I393" s="25" t="n">
        <x:v>132</x:v>
      </x:c>
      <x:c r="J393" s="25" t="n">
        <x:f>F393+H393</x:f>
        <x:v>1520</x:v>
      </x:c>
      <x:c r="K393" s="25" t="n">
        <x:f>G393+I393</x:f>
        <x:v>242</x:v>
      </x:c>
      <x:c r="L393" s="25" t="n">
        <x:v>1232</x:v>
      </x:c>
      <x:c r="M393" s="25" t="n">
        <x:v>330</x:v>
      </x:c>
      <x:c r="N393" s="25" t="n">
        <x:v>287</x:v>
      </x:c>
      <x:c r="O393" s="25" t="n">
        <x:v>180</x:v>
      </x:c>
      <x:c r="P393" s="25" t="n">
        <x:f>L393+N393</x:f>
        <x:v>1519</x:v>
      </x:c>
      <x:c r="Q393" s="25" t="n">
        <x:f>M393+O393</x:f>
        <x:v>510</x:v>
      </x:c>
      <x:c r="R393" s="25" t="n">
        <x:f>MAX(0,MIN(J393,P393)-MAX(F393,L393))</x:f>
        <x:v>287</x:v>
      </x:c>
      <x:c r="S393" s="25" t="n">
        <x:f>MAX(0,MIN(K393,Q393)-MAX(G393,M393))</x:f>
        <x:v>0</x:v>
      </x:c>
      <x:c r="T393" s="25" t="n">
        <x:f>R393*S393</x:f>
        <x:v>0</x:v>
      </x:c>
      <x:c r="U393" s="24" t="str">
        <x:f>IF(T393&gt;0,"ERREUR chevauchement","OK aucun chevauchement")</x:f>
        <x:v>OK aucun chevauchement</x:v>
      </x:c>
      <x:c r="V393" s="24" t="str">
        <x:v>OK aucun chevauchement</x:v>
      </x:c>
      <x:c r="W393" s="24" t="str">
        <x:v>Si ERREUR : déplacer/redimensionner l’objet B ou créer un bookmark/masquage</x:v>
      </x:c>
    </x:row>
    <x:row r="394">
      <x:c r="A394" s="24" t="str">
        <x:v>Alertes</x:v>
      </x:c>
      <x:c r="B394" s="24" t="str">
        <x:v>G01_Title_Zone</x:v>
      </x:c>
      <x:c r="C394" s="24" t="str">
        <x:v>Title_Zone</x:v>
      </x:c>
      <x:c r="D394" s="24" t="str">
        <x:v>G04_Alertes</x:v>
      </x:c>
      <x:c r="E394" s="24" t="str">
        <x:v>Bloc_Niveaux_Alerte</x:v>
      </x:c>
      <x:c r="F394" s="25" t="n">
        <x:v>20</x:v>
      </x:c>
      <x:c r="G394" s="25" t="n">
        <x:v>110</x:v>
      </x:c>
      <x:c r="H394" s="25" t="n">
        <x:v>1500</x:v>
      </x:c>
      <x:c r="I394" s="25" t="n">
        <x:v>132</x:v>
      </x:c>
      <x:c r="J394" s="25" t="n">
        <x:f>F394+H394</x:f>
        <x:v>1520</x:v>
      </x:c>
      <x:c r="K394" s="25" t="n">
        <x:f>G394+I394</x:f>
        <x:v>242</x:v>
      </x:c>
      <x:c r="L394" s="25" t="n">
        <x:v>20</x:v>
      </x:c>
      <x:c r="M394" s="25" t="n">
        <x:v>535</x:v>
      </x:c>
      <x:c r="N394" s="25" t="n">
        <x:v>742</x:v>
      </x:c>
      <x:c r="O394" s="25" t="n">
        <x:v>330</x:v>
      </x:c>
      <x:c r="P394" s="25" t="n">
        <x:f>L394+N394</x:f>
        <x:v>762</x:v>
      </x:c>
      <x:c r="Q394" s="25" t="n">
        <x:f>M394+O394</x:f>
        <x:v>865</x:v>
      </x:c>
      <x:c r="R394" s="25" t="n">
        <x:f>MAX(0,MIN(J394,P394)-MAX(F394,L394))</x:f>
        <x:v>742</x:v>
      </x:c>
      <x:c r="S394" s="25" t="n">
        <x:f>MAX(0,MIN(K394,Q394)-MAX(G394,M394))</x:f>
        <x:v>0</x:v>
      </x:c>
      <x:c r="T394" s="25" t="n">
        <x:f>R394*S394</x:f>
        <x:v>0</x:v>
      </x:c>
      <x:c r="U394" s="24" t="str">
        <x:f>IF(T394&gt;0,"ERREUR chevauchement","OK aucun chevauchement")</x:f>
        <x:v>OK aucun chevauchement</x:v>
      </x:c>
      <x:c r="V394" s="24" t="str">
        <x:v>OK aucun chevauchement</x:v>
      </x:c>
      <x:c r="W394" s="24" t="str">
        <x:v>Si ERREUR : déplacer/redimensionner l’objet B ou créer un bookmark/masquage</x:v>
      </x:c>
    </x:row>
    <x:row r="395">
      <x:c r="A395" s="24" t="str">
        <x:v>Alertes</x:v>
      </x:c>
      <x:c r="B395" s="24" t="str">
        <x:v>G01_Title_Zone</x:v>
      </x:c>
      <x:c r="C395" s="24" t="str">
        <x:v>Title_Zone</x:v>
      </x:c>
      <x:c r="D395" s="24" t="str">
        <x:v>G04_Alertes</x:v>
      </x:c>
      <x:c r="E395" s="24" t="str">
        <x:v>Bloc_Recommandation</x:v>
      </x:c>
      <x:c r="F395" s="25" t="n">
        <x:v>20</x:v>
      </x:c>
      <x:c r="G395" s="25" t="n">
        <x:v>110</x:v>
      </x:c>
      <x:c r="H395" s="25" t="n">
        <x:v>1500</x:v>
      </x:c>
      <x:c r="I395" s="25" t="n">
        <x:v>132</x:v>
      </x:c>
      <x:c r="J395" s="25" t="n">
        <x:f>F395+H395</x:f>
        <x:v>1520</x:v>
      </x:c>
      <x:c r="K395" s="25" t="n">
        <x:f>G395+I395</x:f>
        <x:v>242</x:v>
      </x:c>
      <x:c r="L395" s="25" t="n">
        <x:v>778</x:v>
      </x:c>
      <x:c r="M395" s="25" t="n">
        <x:v>535</x:v>
      </x:c>
      <x:c r="N395" s="25" t="n">
        <x:v>742</x:v>
      </x:c>
      <x:c r="O395" s="25" t="n">
        <x:v>330</x:v>
      </x:c>
      <x:c r="P395" s="25" t="n">
        <x:f>L395+N395</x:f>
        <x:v>1520</x:v>
      </x:c>
      <x:c r="Q395" s="25" t="n">
        <x:f>M395+O395</x:f>
        <x:v>865</x:v>
      </x:c>
      <x:c r="R395" s="25" t="n">
        <x:f>MAX(0,MIN(J395,P395)-MAX(F395,L395))</x:f>
        <x:v>742</x:v>
      </x:c>
      <x:c r="S395" s="25" t="n">
        <x:f>MAX(0,MIN(K395,Q395)-MAX(G395,M395))</x:f>
        <x:v>0</x:v>
      </x:c>
      <x:c r="T395" s="25" t="n">
        <x:f>R395*S395</x:f>
        <x:v>0</x:v>
      </x:c>
      <x:c r="U395" s="24" t="str">
        <x:f>IF(T395&gt;0,"ERREUR chevauchement","OK aucun chevauchement")</x:f>
        <x:v>OK aucun chevauchement</x:v>
      </x:c>
      <x:c r="V395" s="24" t="str">
        <x:v>OK aucun chevauchement</x:v>
      </x:c>
      <x:c r="W395" s="24" t="str">
        <x:v>Si ERREUR : déplacer/redimensionner l’objet B ou créer un bookmark/masquage</x:v>
      </x:c>
    </x:row>
    <x:row r="396">
      <x:c r="A396" s="24" t="str">
        <x:v>Alertes</x:v>
      </x:c>
      <x:c r="B396" s="24" t="str">
        <x:v>G01_Title_Zone</x:v>
      </x:c>
      <x:c r="C396" s="24" t="str">
        <x:v>Title_Zone</x:v>
      </x:c>
      <x:c r="D396" s="24" t="str">
        <x:v>G05_Table</x:v>
      </x:c>
      <x:c r="E396" s="24" t="str">
        <x:v>Table_Detail_Alertes</x:v>
      </x:c>
      <x:c r="F396" s="25" t="n">
        <x:v>20</x:v>
      </x:c>
      <x:c r="G396" s="25" t="n">
        <x:v>110</x:v>
      </x:c>
      <x:c r="H396" s="25" t="n">
        <x:v>1500</x:v>
      </x:c>
      <x:c r="I396" s="25" t="n">
        <x:v>132</x:v>
      </x:c>
      <x:c r="J396" s="25" t="n">
        <x:f>F396+H396</x:f>
        <x:v>1520</x:v>
      </x:c>
      <x:c r="K396" s="25" t="n">
        <x:f>G396+I396</x:f>
        <x:v>242</x:v>
      </x:c>
      <x:c r="L396" s="25" t="n">
        <x:v>20</x:v>
      </x:c>
      <x:c r="M396" s="25" t="n">
        <x:v>885</x:v>
      </x:c>
      <x:c r="N396" s="25" t="n">
        <x:v>1500</x:v>
      </x:c>
      <x:c r="O396" s="25" t="n">
        <x:v>430</x:v>
      </x:c>
      <x:c r="P396" s="25" t="n">
        <x:f>L396+N396</x:f>
        <x:v>1520</x:v>
      </x:c>
      <x:c r="Q396" s="25" t="n">
        <x:f>M396+O396</x:f>
        <x:v>1315</x:v>
      </x:c>
      <x:c r="R396" s="25" t="n">
        <x:f>MAX(0,MIN(J396,P396)-MAX(F396,L396))</x:f>
        <x:v>1500</x:v>
      </x:c>
      <x:c r="S396" s="25" t="n">
        <x:f>MAX(0,MIN(K396,Q396)-MAX(G396,M396))</x:f>
        <x:v>0</x:v>
      </x:c>
      <x:c r="T396" s="25" t="n">
        <x:f>R396*S396</x:f>
        <x:v>0</x:v>
      </x:c>
      <x:c r="U396" s="24" t="str">
        <x:f>IF(T396&gt;0,"ERREUR chevauchement","OK aucun chevauchement")</x:f>
        <x:v>OK aucun chevauchement</x:v>
      </x:c>
      <x:c r="V396" s="24" t="str">
        <x:v>OK aucun chevauchement</x:v>
      </x:c>
      <x:c r="W396" s="24" t="str">
        <x:v>Si ERREUR : déplacer/redimensionner l’objet B ou créer un bookmark/masquage</x:v>
      </x:c>
    </x:row>
    <x:row r="397">
      <x:c r="A397" s="24" t="str">
        <x:v>Alertes</x:v>
      </x:c>
      <x:c r="B397" s="24" t="str">
        <x:v>G02_Toolbar</x:v>
      </x:c>
      <x:c r="C397" s="24" t="str">
        <x:v>Toolbar_Slicers_FieldParams</x:v>
      </x:c>
      <x:c r="D397" s="24" t="str">
        <x:v>G03_KPI_Row</x:v>
      </x:c>
      <x:c r="E397" s="24" t="str">
        <x:v>KPI_Card_01</x:v>
      </x:c>
      <x:c r="F397" s="25" t="n">
        <x:v>20</x:v>
      </x:c>
      <x:c r="G397" s="25" t="n">
        <x:v>260</x:v>
      </x:c>
      <x:c r="H397" s="25" t="n">
        <x:v>1500</x:v>
      </x:c>
      <x:c r="I397" s="25" t="n">
        <x:v>56</x:v>
      </x:c>
      <x:c r="J397" s="25" t="n">
        <x:f>F397+H397</x:f>
        <x:v>1520</x:v>
      </x:c>
      <x:c r="K397" s="25" t="n">
        <x:f>G397+I397</x:f>
        <x:v>316</x:v>
      </x:c>
      <x:c r="L397" s="25" t="n">
        <x:v>20</x:v>
      </x:c>
      <x:c r="M397" s="25" t="n">
        <x:v>330</x:v>
      </x:c>
      <x:c r="N397" s="25" t="n">
        <x:v>287</x:v>
      </x:c>
      <x:c r="O397" s="25" t="n">
        <x:v>180</x:v>
      </x:c>
      <x:c r="P397" s="25" t="n">
        <x:f>L397+N397</x:f>
        <x:v>307</x:v>
      </x:c>
      <x:c r="Q397" s="25" t="n">
        <x:f>M397+O397</x:f>
        <x:v>510</x:v>
      </x:c>
      <x:c r="R397" s="25" t="n">
        <x:f>MAX(0,MIN(J397,P397)-MAX(F397,L397))</x:f>
        <x:v>287</x:v>
      </x:c>
      <x:c r="S397" s="25" t="n">
        <x:f>MAX(0,MIN(K397,Q397)-MAX(G397,M397))</x:f>
        <x:v>0</x:v>
      </x:c>
      <x:c r="T397" s="25" t="n">
        <x:f>R397*S397</x:f>
        <x:v>0</x:v>
      </x:c>
      <x:c r="U397" s="24" t="str">
        <x:f>IF(T397&gt;0,"ERREUR chevauchement","OK aucun chevauchement")</x:f>
        <x:v>OK aucun chevauchement</x:v>
      </x:c>
      <x:c r="V397" s="24" t="str">
        <x:v>OK aucun chevauchement</x:v>
      </x:c>
      <x:c r="W397" s="24" t="str">
        <x:v>Si ERREUR : déplacer/redimensionner l’objet B ou créer un bookmark/masquage</x:v>
      </x:c>
    </x:row>
    <x:row r="398">
      <x:c r="A398" s="24" t="str">
        <x:v>Alertes</x:v>
      </x:c>
      <x:c r="B398" s="24" t="str">
        <x:v>G02_Toolbar</x:v>
      </x:c>
      <x:c r="C398" s="24" t="str">
        <x:v>Toolbar_Slicers_FieldParams</x:v>
      </x:c>
      <x:c r="D398" s="24" t="str">
        <x:v>G03_KPI_Row</x:v>
      </x:c>
      <x:c r="E398" s="24" t="str">
        <x:v>KPI_Card_02</x:v>
      </x:c>
      <x:c r="F398" s="25" t="n">
        <x:v>20</x:v>
      </x:c>
      <x:c r="G398" s="25" t="n">
        <x:v>260</x:v>
      </x:c>
      <x:c r="H398" s="25" t="n">
        <x:v>1500</x:v>
      </x:c>
      <x:c r="I398" s="25" t="n">
        <x:v>56</x:v>
      </x:c>
      <x:c r="J398" s="25" t="n">
        <x:f>F398+H398</x:f>
        <x:v>1520</x:v>
      </x:c>
      <x:c r="K398" s="25" t="n">
        <x:f>G398+I398</x:f>
        <x:v>316</x:v>
      </x:c>
      <x:c r="L398" s="25" t="n">
        <x:v>323</x:v>
      </x:c>
      <x:c r="M398" s="25" t="n">
        <x:v>330</x:v>
      </x:c>
      <x:c r="N398" s="25" t="n">
        <x:v>287</x:v>
      </x:c>
      <x:c r="O398" s="25" t="n">
        <x:v>180</x:v>
      </x:c>
      <x:c r="P398" s="25" t="n">
        <x:f>L398+N398</x:f>
        <x:v>610</x:v>
      </x:c>
      <x:c r="Q398" s="25" t="n">
        <x:f>M398+O398</x:f>
        <x:v>510</x:v>
      </x:c>
      <x:c r="R398" s="25" t="n">
        <x:f>MAX(0,MIN(J398,P398)-MAX(F398,L398))</x:f>
        <x:v>287</x:v>
      </x:c>
      <x:c r="S398" s="25" t="n">
        <x:f>MAX(0,MIN(K398,Q398)-MAX(G398,M398))</x:f>
        <x:v>0</x:v>
      </x:c>
      <x:c r="T398" s="25" t="n">
        <x:f>R398*S398</x:f>
        <x:v>0</x:v>
      </x:c>
      <x:c r="U398" s="24" t="str">
        <x:f>IF(T398&gt;0,"ERREUR chevauchement","OK aucun chevauchement")</x:f>
        <x:v>OK aucun chevauchement</x:v>
      </x:c>
      <x:c r="V398" s="24" t="str">
        <x:v>OK aucun chevauchement</x:v>
      </x:c>
      <x:c r="W398" s="24" t="str">
        <x:v>Si ERREUR : déplacer/redimensionner l’objet B ou créer un bookmark/masquage</x:v>
      </x:c>
    </x:row>
    <x:row r="399">
      <x:c r="A399" s="24" t="str">
        <x:v>Alertes</x:v>
      </x:c>
      <x:c r="B399" s="24" t="str">
        <x:v>G02_Toolbar</x:v>
      </x:c>
      <x:c r="C399" s="24" t="str">
        <x:v>Toolbar_Slicers_FieldParams</x:v>
      </x:c>
      <x:c r="D399" s="24" t="str">
        <x:v>G03_KPI_Row</x:v>
      </x:c>
      <x:c r="E399" s="24" t="str">
        <x:v>KPI_Card_03</x:v>
      </x:c>
      <x:c r="F399" s="25" t="n">
        <x:v>20</x:v>
      </x:c>
      <x:c r="G399" s="25" t="n">
        <x:v>260</x:v>
      </x:c>
      <x:c r="H399" s="25" t="n">
        <x:v>1500</x:v>
      </x:c>
      <x:c r="I399" s="25" t="n">
        <x:v>56</x:v>
      </x:c>
      <x:c r="J399" s="25" t="n">
        <x:f>F399+H399</x:f>
        <x:v>1520</x:v>
      </x:c>
      <x:c r="K399" s="25" t="n">
        <x:f>G399+I399</x:f>
        <x:v>316</x:v>
      </x:c>
      <x:c r="L399" s="25" t="n">
        <x:v>626</x:v>
      </x:c>
      <x:c r="M399" s="25" t="n">
        <x:v>330</x:v>
      </x:c>
      <x:c r="N399" s="25" t="n">
        <x:v>287</x:v>
      </x:c>
      <x:c r="O399" s="25" t="n">
        <x:v>180</x:v>
      </x:c>
      <x:c r="P399" s="25" t="n">
        <x:f>L399+N399</x:f>
        <x:v>913</x:v>
      </x:c>
      <x:c r="Q399" s="25" t="n">
        <x:f>M399+O399</x:f>
        <x:v>510</x:v>
      </x:c>
      <x:c r="R399" s="25" t="n">
        <x:f>MAX(0,MIN(J399,P399)-MAX(F399,L399))</x:f>
        <x:v>287</x:v>
      </x:c>
      <x:c r="S399" s="25" t="n">
        <x:f>MAX(0,MIN(K399,Q399)-MAX(G399,M399))</x:f>
        <x:v>0</x:v>
      </x:c>
      <x:c r="T399" s="25" t="n">
        <x:f>R399*S399</x:f>
        <x:v>0</x:v>
      </x:c>
      <x:c r="U399" s="24" t="str">
        <x:f>IF(T399&gt;0,"ERREUR chevauchement","OK aucun chevauchement")</x:f>
        <x:v>OK aucun chevauchement</x:v>
      </x:c>
      <x:c r="V399" s="24" t="str">
        <x:v>OK aucun chevauchement</x:v>
      </x:c>
      <x:c r="W399" s="24" t="str">
        <x:v>Si ERREUR : déplacer/redimensionner l’objet B ou créer un bookmark/masquage</x:v>
      </x:c>
    </x:row>
    <x:row r="400">
      <x:c r="A400" s="24" t="str">
        <x:v>Alertes</x:v>
      </x:c>
      <x:c r="B400" s="24" t="str">
        <x:v>G02_Toolbar</x:v>
      </x:c>
      <x:c r="C400" s="24" t="str">
        <x:v>Toolbar_Slicers_FieldParams</x:v>
      </x:c>
      <x:c r="D400" s="24" t="str">
        <x:v>G03_KPI_Row</x:v>
      </x:c>
      <x:c r="E400" s="24" t="str">
        <x:v>KPI_Card_04</x:v>
      </x:c>
      <x:c r="F400" s="25" t="n">
        <x:v>20</x:v>
      </x:c>
      <x:c r="G400" s="25" t="n">
        <x:v>260</x:v>
      </x:c>
      <x:c r="H400" s="25" t="n">
        <x:v>1500</x:v>
      </x:c>
      <x:c r="I400" s="25" t="n">
        <x:v>56</x:v>
      </x:c>
      <x:c r="J400" s="25" t="n">
        <x:f>F400+H400</x:f>
        <x:v>1520</x:v>
      </x:c>
      <x:c r="K400" s="25" t="n">
        <x:f>G400+I400</x:f>
        <x:v>316</x:v>
      </x:c>
      <x:c r="L400" s="25" t="n">
        <x:v>929</x:v>
      </x:c>
      <x:c r="M400" s="25" t="n">
        <x:v>330</x:v>
      </x:c>
      <x:c r="N400" s="25" t="n">
        <x:v>287</x:v>
      </x:c>
      <x:c r="O400" s="25" t="n">
        <x:v>180</x:v>
      </x:c>
      <x:c r="P400" s="25" t="n">
        <x:f>L400+N400</x:f>
        <x:v>1216</x:v>
      </x:c>
      <x:c r="Q400" s="25" t="n">
        <x:f>M400+O400</x:f>
        <x:v>510</x:v>
      </x:c>
      <x:c r="R400" s="25" t="n">
        <x:f>MAX(0,MIN(J400,P400)-MAX(F400,L400))</x:f>
        <x:v>287</x:v>
      </x:c>
      <x:c r="S400" s="25" t="n">
        <x:f>MAX(0,MIN(K400,Q400)-MAX(G400,M400))</x:f>
        <x:v>0</x:v>
      </x:c>
      <x:c r="T400" s="25" t="n">
        <x:f>R400*S400</x:f>
        <x:v>0</x:v>
      </x:c>
      <x:c r="U400" s="24" t="str">
        <x:f>IF(T400&gt;0,"ERREUR chevauchement","OK aucun chevauchement")</x:f>
        <x:v>OK aucun chevauchement</x:v>
      </x:c>
      <x:c r="V400" s="24" t="str">
        <x:v>OK aucun chevauchement</x:v>
      </x:c>
      <x:c r="W400" s="24" t="str">
        <x:v>Si ERREUR : déplacer/redimensionner l’objet B ou créer un bookmark/masquage</x:v>
      </x:c>
    </x:row>
    <x:row r="401">
      <x:c r="A401" s="24" t="str">
        <x:v>Alertes</x:v>
      </x:c>
      <x:c r="B401" s="24" t="str">
        <x:v>G02_Toolbar</x:v>
      </x:c>
      <x:c r="C401" s="24" t="str">
        <x:v>Toolbar_Slicers_FieldParams</x:v>
      </x:c>
      <x:c r="D401" s="24" t="str">
        <x:v>G03_KPI_Row</x:v>
      </x:c>
      <x:c r="E401" s="24" t="str">
        <x:v>KPI_Card_05</x:v>
      </x:c>
      <x:c r="F401" s="25" t="n">
        <x:v>20</x:v>
      </x:c>
      <x:c r="G401" s="25" t="n">
        <x:v>260</x:v>
      </x:c>
      <x:c r="H401" s="25" t="n">
        <x:v>1500</x:v>
      </x:c>
      <x:c r="I401" s="25" t="n">
        <x:v>56</x:v>
      </x:c>
      <x:c r="J401" s="25" t="n">
        <x:f>F401+H401</x:f>
        <x:v>1520</x:v>
      </x:c>
      <x:c r="K401" s="25" t="n">
        <x:f>G401+I401</x:f>
        <x:v>316</x:v>
      </x:c>
      <x:c r="L401" s="25" t="n">
        <x:v>1232</x:v>
      </x:c>
      <x:c r="M401" s="25" t="n">
        <x:v>330</x:v>
      </x:c>
      <x:c r="N401" s="25" t="n">
        <x:v>287</x:v>
      </x:c>
      <x:c r="O401" s="25" t="n">
        <x:v>180</x:v>
      </x:c>
      <x:c r="P401" s="25" t="n">
        <x:f>L401+N401</x:f>
        <x:v>1519</x:v>
      </x:c>
      <x:c r="Q401" s="25" t="n">
        <x:f>M401+O401</x:f>
        <x:v>510</x:v>
      </x:c>
      <x:c r="R401" s="25" t="n">
        <x:f>MAX(0,MIN(J401,P401)-MAX(F401,L401))</x:f>
        <x:v>287</x:v>
      </x:c>
      <x:c r="S401" s="25" t="n">
        <x:f>MAX(0,MIN(K401,Q401)-MAX(G401,M401))</x:f>
        <x:v>0</x:v>
      </x:c>
      <x:c r="T401" s="25" t="n">
        <x:f>R401*S401</x:f>
        <x:v>0</x:v>
      </x:c>
      <x:c r="U401" s="24" t="str">
        <x:f>IF(T401&gt;0,"ERREUR chevauchement","OK aucun chevauchement")</x:f>
        <x:v>OK aucun chevauchement</x:v>
      </x:c>
      <x:c r="V401" s="24" t="str">
        <x:v>OK aucun chevauchement</x:v>
      </x:c>
      <x:c r="W401" s="24" t="str">
        <x:v>Si ERREUR : déplacer/redimensionner l’objet B ou créer un bookmark/masquage</x:v>
      </x:c>
    </x:row>
    <x:row r="402">
      <x:c r="A402" s="24" t="str">
        <x:v>Alertes</x:v>
      </x:c>
      <x:c r="B402" s="24" t="str">
        <x:v>G02_Toolbar</x:v>
      </x:c>
      <x:c r="C402" s="24" t="str">
        <x:v>Toolbar_Slicers_FieldParams</x:v>
      </x:c>
      <x:c r="D402" s="24" t="str">
        <x:v>G04_Alertes</x:v>
      </x:c>
      <x:c r="E402" s="24" t="str">
        <x:v>Bloc_Niveaux_Alerte</x:v>
      </x:c>
      <x:c r="F402" s="25" t="n">
        <x:v>20</x:v>
      </x:c>
      <x:c r="G402" s="25" t="n">
        <x:v>260</x:v>
      </x:c>
      <x:c r="H402" s="25" t="n">
        <x:v>1500</x:v>
      </x:c>
      <x:c r="I402" s="25" t="n">
        <x:v>56</x:v>
      </x:c>
      <x:c r="J402" s="25" t="n">
        <x:f>F402+H402</x:f>
        <x:v>1520</x:v>
      </x:c>
      <x:c r="K402" s="25" t="n">
        <x:f>G402+I402</x:f>
        <x:v>316</x:v>
      </x:c>
      <x:c r="L402" s="25" t="n">
        <x:v>20</x:v>
      </x:c>
      <x:c r="M402" s="25" t="n">
        <x:v>535</x:v>
      </x:c>
      <x:c r="N402" s="25" t="n">
        <x:v>742</x:v>
      </x:c>
      <x:c r="O402" s="25" t="n">
        <x:v>330</x:v>
      </x:c>
      <x:c r="P402" s="25" t="n">
        <x:f>L402+N402</x:f>
        <x:v>762</x:v>
      </x:c>
      <x:c r="Q402" s="25" t="n">
        <x:f>M402+O402</x:f>
        <x:v>865</x:v>
      </x:c>
      <x:c r="R402" s="25" t="n">
        <x:f>MAX(0,MIN(J402,P402)-MAX(F402,L402))</x:f>
        <x:v>742</x:v>
      </x:c>
      <x:c r="S402" s="25" t="n">
        <x:f>MAX(0,MIN(K402,Q402)-MAX(G402,M402))</x:f>
        <x:v>0</x:v>
      </x:c>
      <x:c r="T402" s="25" t="n">
        <x:f>R402*S402</x:f>
        <x:v>0</x:v>
      </x:c>
      <x:c r="U402" s="24" t="str">
        <x:f>IF(T402&gt;0,"ERREUR chevauchement","OK aucun chevauchement")</x:f>
        <x:v>OK aucun chevauchement</x:v>
      </x:c>
      <x:c r="V402" s="24" t="str">
        <x:v>OK aucun chevauchement</x:v>
      </x:c>
      <x:c r="W402" s="24" t="str">
        <x:v>Si ERREUR : déplacer/redimensionner l’objet B ou créer un bookmark/masquage</x:v>
      </x:c>
    </x:row>
    <x:row r="403">
      <x:c r="A403" s="24" t="str">
        <x:v>Alertes</x:v>
      </x:c>
      <x:c r="B403" s="24" t="str">
        <x:v>G02_Toolbar</x:v>
      </x:c>
      <x:c r="C403" s="24" t="str">
        <x:v>Toolbar_Slicers_FieldParams</x:v>
      </x:c>
      <x:c r="D403" s="24" t="str">
        <x:v>G04_Alertes</x:v>
      </x:c>
      <x:c r="E403" s="24" t="str">
        <x:v>Bloc_Recommandation</x:v>
      </x:c>
      <x:c r="F403" s="25" t="n">
        <x:v>20</x:v>
      </x:c>
      <x:c r="G403" s="25" t="n">
        <x:v>260</x:v>
      </x:c>
      <x:c r="H403" s="25" t="n">
        <x:v>1500</x:v>
      </x:c>
      <x:c r="I403" s="25" t="n">
        <x:v>56</x:v>
      </x:c>
      <x:c r="J403" s="25" t="n">
        <x:f>F403+H403</x:f>
        <x:v>1520</x:v>
      </x:c>
      <x:c r="K403" s="25" t="n">
        <x:f>G403+I403</x:f>
        <x:v>316</x:v>
      </x:c>
      <x:c r="L403" s="25" t="n">
        <x:v>778</x:v>
      </x:c>
      <x:c r="M403" s="25" t="n">
        <x:v>535</x:v>
      </x:c>
      <x:c r="N403" s="25" t="n">
        <x:v>742</x:v>
      </x:c>
      <x:c r="O403" s="25" t="n">
        <x:v>330</x:v>
      </x:c>
      <x:c r="P403" s="25" t="n">
        <x:f>L403+N403</x:f>
        <x:v>1520</x:v>
      </x:c>
      <x:c r="Q403" s="25" t="n">
        <x:f>M403+O403</x:f>
        <x:v>865</x:v>
      </x:c>
      <x:c r="R403" s="25" t="n">
        <x:f>MAX(0,MIN(J403,P403)-MAX(F403,L403))</x:f>
        <x:v>742</x:v>
      </x:c>
      <x:c r="S403" s="25" t="n">
        <x:f>MAX(0,MIN(K403,Q403)-MAX(G403,M403))</x:f>
        <x:v>0</x:v>
      </x:c>
      <x:c r="T403" s="25" t="n">
        <x:f>R403*S403</x:f>
        <x:v>0</x:v>
      </x:c>
      <x:c r="U403" s="24" t="str">
        <x:f>IF(T403&gt;0,"ERREUR chevauchement","OK aucun chevauchement")</x:f>
        <x:v>OK aucun chevauchement</x:v>
      </x:c>
      <x:c r="V403" s="24" t="str">
        <x:v>OK aucun chevauchement</x:v>
      </x:c>
      <x:c r="W403" s="24" t="str">
        <x:v>Si ERREUR : déplacer/redimensionner l’objet B ou créer un bookmark/masquage</x:v>
      </x:c>
    </x:row>
    <x:row r="404">
      <x:c r="A404" s="24" t="str">
        <x:v>Alertes</x:v>
      </x:c>
      <x:c r="B404" s="24" t="str">
        <x:v>G02_Toolbar</x:v>
      </x:c>
      <x:c r="C404" s="24" t="str">
        <x:v>Toolbar_Slicers_FieldParams</x:v>
      </x:c>
      <x:c r="D404" s="24" t="str">
        <x:v>G05_Table</x:v>
      </x:c>
      <x:c r="E404" s="24" t="str">
        <x:v>Table_Detail_Alertes</x:v>
      </x:c>
      <x:c r="F404" s="25" t="n">
        <x:v>20</x:v>
      </x:c>
      <x:c r="G404" s="25" t="n">
        <x:v>260</x:v>
      </x:c>
      <x:c r="H404" s="25" t="n">
        <x:v>1500</x:v>
      </x:c>
      <x:c r="I404" s="25" t="n">
        <x:v>56</x:v>
      </x:c>
      <x:c r="J404" s="25" t="n">
        <x:f>F404+H404</x:f>
        <x:v>1520</x:v>
      </x:c>
      <x:c r="K404" s="25" t="n">
        <x:f>G404+I404</x:f>
        <x:v>316</x:v>
      </x:c>
      <x:c r="L404" s="25" t="n">
        <x:v>20</x:v>
      </x:c>
      <x:c r="M404" s="25" t="n">
        <x:v>885</x:v>
      </x:c>
      <x:c r="N404" s="25" t="n">
        <x:v>1500</x:v>
      </x:c>
      <x:c r="O404" s="25" t="n">
        <x:v>430</x:v>
      </x:c>
      <x:c r="P404" s="25" t="n">
        <x:f>L404+N404</x:f>
        <x:v>1520</x:v>
      </x:c>
      <x:c r="Q404" s="25" t="n">
        <x:f>M404+O404</x:f>
        <x:v>1315</x:v>
      </x:c>
      <x:c r="R404" s="25" t="n">
        <x:f>MAX(0,MIN(J404,P404)-MAX(F404,L404))</x:f>
        <x:v>1500</x:v>
      </x:c>
      <x:c r="S404" s="25" t="n">
        <x:f>MAX(0,MIN(K404,Q404)-MAX(G404,M404))</x:f>
        <x:v>0</x:v>
      </x:c>
      <x:c r="T404" s="25" t="n">
        <x:f>R404*S404</x:f>
        <x:v>0</x:v>
      </x:c>
      <x:c r="U404" s="24" t="str">
        <x:f>IF(T404&gt;0,"ERREUR chevauchement","OK aucun chevauchement")</x:f>
        <x:v>OK aucun chevauchement</x:v>
      </x:c>
      <x:c r="V404" s="24" t="str">
        <x:v>OK aucun chevauchement</x:v>
      </x:c>
      <x:c r="W404" s="24" t="str">
        <x:v>Si ERREUR : déplacer/redimensionner l’objet B ou créer un bookmark/masquage</x:v>
      </x:c>
    </x:row>
    <x:row r="405">
      <x:c r="A405" s="24" t="str">
        <x:v>Alertes</x:v>
      </x:c>
      <x:c r="B405" s="24" t="str">
        <x:v>G03_KPI_Row</x:v>
      </x:c>
      <x:c r="C405" s="24" t="str">
        <x:v>KPI_Card_01</x:v>
      </x:c>
      <x:c r="D405" s="24" t="str">
        <x:v>G03_KPI_Row</x:v>
      </x:c>
      <x:c r="E405" s="24" t="str">
        <x:v>KPI_Card_02</x:v>
      </x:c>
      <x:c r="F405" s="25" t="n">
        <x:v>20</x:v>
      </x:c>
      <x:c r="G405" s="25" t="n">
        <x:v>330</x:v>
      </x:c>
      <x:c r="H405" s="25" t="n">
        <x:v>287</x:v>
      </x:c>
      <x:c r="I405" s="25" t="n">
        <x:v>180</x:v>
      </x:c>
      <x:c r="J405" s="25" t="n">
        <x:f>F405+H405</x:f>
        <x:v>307</x:v>
      </x:c>
      <x:c r="K405" s="25" t="n">
        <x:f>G405+I405</x:f>
        <x:v>510</x:v>
      </x:c>
      <x:c r="L405" s="25" t="n">
        <x:v>323</x:v>
      </x:c>
      <x:c r="M405" s="25" t="n">
        <x:v>330</x:v>
      </x:c>
      <x:c r="N405" s="25" t="n">
        <x:v>287</x:v>
      </x:c>
      <x:c r="O405" s="25" t="n">
        <x:v>180</x:v>
      </x:c>
      <x:c r="P405" s="25" t="n">
        <x:f>L405+N405</x:f>
        <x:v>610</x:v>
      </x:c>
      <x:c r="Q405" s="25" t="n">
        <x:f>M405+O405</x:f>
        <x:v>510</x:v>
      </x:c>
      <x:c r="R405" s="25" t="n">
        <x:f>MAX(0,MIN(J405,P405)-MAX(F405,L405))</x:f>
        <x:v>0</x:v>
      </x:c>
      <x:c r="S405" s="25" t="n">
        <x:f>MAX(0,MIN(K405,Q405)-MAX(G405,M405))</x:f>
        <x:v>180</x:v>
      </x:c>
      <x:c r="T405" s="25" t="n">
        <x:f>R405*S405</x:f>
        <x:v>0</x:v>
      </x:c>
      <x:c r="U405" s="24" t="str">
        <x:f>IF(T405&gt;0,"ERREUR chevauchement","OK aucun chevauchement")</x:f>
        <x:v>OK aucun chevauchement</x:v>
      </x:c>
      <x:c r="V405" s="24" t="str">
        <x:v>OK aucun chevauchement</x:v>
      </x:c>
      <x:c r="W405" s="24" t="str">
        <x:v>Si ERREUR : déplacer/redimensionner l’objet B ou créer un bookmark/masquage</x:v>
      </x:c>
    </x:row>
    <x:row r="406">
      <x:c r="A406" s="24" t="str">
        <x:v>Alertes</x:v>
      </x:c>
      <x:c r="B406" s="24" t="str">
        <x:v>G03_KPI_Row</x:v>
      </x:c>
      <x:c r="C406" s="24" t="str">
        <x:v>KPI_Card_01</x:v>
      </x:c>
      <x:c r="D406" s="24" t="str">
        <x:v>G03_KPI_Row</x:v>
      </x:c>
      <x:c r="E406" s="24" t="str">
        <x:v>KPI_Card_03</x:v>
      </x:c>
      <x:c r="F406" s="25" t="n">
        <x:v>20</x:v>
      </x:c>
      <x:c r="G406" s="25" t="n">
        <x:v>330</x:v>
      </x:c>
      <x:c r="H406" s="25" t="n">
        <x:v>287</x:v>
      </x:c>
      <x:c r="I406" s="25" t="n">
        <x:v>180</x:v>
      </x:c>
      <x:c r="J406" s="25" t="n">
        <x:f>F406+H406</x:f>
        <x:v>307</x:v>
      </x:c>
      <x:c r="K406" s="25" t="n">
        <x:f>G406+I406</x:f>
        <x:v>510</x:v>
      </x:c>
      <x:c r="L406" s="25" t="n">
        <x:v>626</x:v>
      </x:c>
      <x:c r="M406" s="25" t="n">
        <x:v>330</x:v>
      </x:c>
      <x:c r="N406" s="25" t="n">
        <x:v>287</x:v>
      </x:c>
      <x:c r="O406" s="25" t="n">
        <x:v>180</x:v>
      </x:c>
      <x:c r="P406" s="25" t="n">
        <x:f>L406+N406</x:f>
        <x:v>913</x:v>
      </x:c>
      <x:c r="Q406" s="25" t="n">
        <x:f>M406+O406</x:f>
        <x:v>510</x:v>
      </x:c>
      <x:c r="R406" s="25" t="n">
        <x:f>MAX(0,MIN(J406,P406)-MAX(F406,L406))</x:f>
        <x:v>0</x:v>
      </x:c>
      <x:c r="S406" s="25" t="n">
        <x:f>MAX(0,MIN(K406,Q406)-MAX(G406,M406))</x:f>
        <x:v>180</x:v>
      </x:c>
      <x:c r="T406" s="25" t="n">
        <x:f>R406*S406</x:f>
        <x:v>0</x:v>
      </x:c>
      <x:c r="U406" s="24" t="str">
        <x:f>IF(T406&gt;0,"ERREUR chevauchement","OK aucun chevauchement")</x:f>
        <x:v>OK aucun chevauchement</x:v>
      </x:c>
      <x:c r="V406" s="24" t="str">
        <x:v>OK aucun chevauchement</x:v>
      </x:c>
      <x:c r="W406" s="24" t="str">
        <x:v>Si ERREUR : déplacer/redimensionner l’objet B ou créer un bookmark/masquage</x:v>
      </x:c>
    </x:row>
    <x:row r="407">
      <x:c r="A407" s="24" t="str">
        <x:v>Alertes</x:v>
      </x:c>
      <x:c r="B407" s="24" t="str">
        <x:v>G03_KPI_Row</x:v>
      </x:c>
      <x:c r="C407" s="24" t="str">
        <x:v>KPI_Card_01</x:v>
      </x:c>
      <x:c r="D407" s="24" t="str">
        <x:v>G03_KPI_Row</x:v>
      </x:c>
      <x:c r="E407" s="24" t="str">
        <x:v>KPI_Card_04</x:v>
      </x:c>
      <x:c r="F407" s="25" t="n">
        <x:v>20</x:v>
      </x:c>
      <x:c r="G407" s="25" t="n">
        <x:v>330</x:v>
      </x:c>
      <x:c r="H407" s="25" t="n">
        <x:v>287</x:v>
      </x:c>
      <x:c r="I407" s="25" t="n">
        <x:v>180</x:v>
      </x:c>
      <x:c r="J407" s="25" t="n">
        <x:f>F407+H407</x:f>
        <x:v>307</x:v>
      </x:c>
      <x:c r="K407" s="25" t="n">
        <x:f>G407+I407</x:f>
        <x:v>510</x:v>
      </x:c>
      <x:c r="L407" s="25" t="n">
        <x:v>929</x:v>
      </x:c>
      <x:c r="M407" s="25" t="n">
        <x:v>330</x:v>
      </x:c>
      <x:c r="N407" s="25" t="n">
        <x:v>287</x:v>
      </x:c>
      <x:c r="O407" s="25" t="n">
        <x:v>180</x:v>
      </x:c>
      <x:c r="P407" s="25" t="n">
        <x:f>L407+N407</x:f>
        <x:v>1216</x:v>
      </x:c>
      <x:c r="Q407" s="25" t="n">
        <x:f>M407+O407</x:f>
        <x:v>510</x:v>
      </x:c>
      <x:c r="R407" s="25" t="n">
        <x:f>MAX(0,MIN(J407,P407)-MAX(F407,L407))</x:f>
        <x:v>0</x:v>
      </x:c>
      <x:c r="S407" s="25" t="n">
        <x:f>MAX(0,MIN(K407,Q407)-MAX(G407,M407))</x:f>
        <x:v>180</x:v>
      </x:c>
      <x:c r="T407" s="25" t="n">
        <x:f>R407*S407</x:f>
        <x:v>0</x:v>
      </x:c>
      <x:c r="U407" s="24" t="str">
        <x:f>IF(T407&gt;0,"ERREUR chevauchement","OK aucun chevauchement")</x:f>
        <x:v>OK aucun chevauchement</x:v>
      </x:c>
      <x:c r="V407" s="24" t="str">
        <x:v>OK aucun chevauchement</x:v>
      </x:c>
      <x:c r="W407" s="24" t="str">
        <x:v>Si ERREUR : déplacer/redimensionner l’objet B ou créer un bookmark/masquage</x:v>
      </x:c>
    </x:row>
    <x:row r="408">
      <x:c r="A408" s="24" t="str">
        <x:v>Alertes</x:v>
      </x:c>
      <x:c r="B408" s="24" t="str">
        <x:v>G03_KPI_Row</x:v>
      </x:c>
      <x:c r="C408" s="24" t="str">
        <x:v>KPI_Card_01</x:v>
      </x:c>
      <x:c r="D408" s="24" t="str">
        <x:v>G03_KPI_Row</x:v>
      </x:c>
      <x:c r="E408" s="24" t="str">
        <x:v>KPI_Card_05</x:v>
      </x:c>
      <x:c r="F408" s="25" t="n">
        <x:v>20</x:v>
      </x:c>
      <x:c r="G408" s="25" t="n">
        <x:v>330</x:v>
      </x:c>
      <x:c r="H408" s="25" t="n">
        <x:v>287</x:v>
      </x:c>
      <x:c r="I408" s="25" t="n">
        <x:v>180</x:v>
      </x:c>
      <x:c r="J408" s="25" t="n">
        <x:f>F408+H408</x:f>
        <x:v>307</x:v>
      </x:c>
      <x:c r="K408" s="25" t="n">
        <x:f>G408+I408</x:f>
        <x:v>510</x:v>
      </x:c>
      <x:c r="L408" s="25" t="n">
        <x:v>1232</x:v>
      </x:c>
      <x:c r="M408" s="25" t="n">
        <x:v>330</x:v>
      </x:c>
      <x:c r="N408" s="25" t="n">
        <x:v>287</x:v>
      </x:c>
      <x:c r="O408" s="25" t="n">
        <x:v>180</x:v>
      </x:c>
      <x:c r="P408" s="25" t="n">
        <x:f>L408+N408</x:f>
        <x:v>1519</x:v>
      </x:c>
      <x:c r="Q408" s="25" t="n">
        <x:f>M408+O408</x:f>
        <x:v>510</x:v>
      </x:c>
      <x:c r="R408" s="25" t="n">
        <x:f>MAX(0,MIN(J408,P408)-MAX(F408,L408))</x:f>
        <x:v>0</x:v>
      </x:c>
      <x:c r="S408" s="25" t="n">
        <x:f>MAX(0,MIN(K408,Q408)-MAX(G408,M408))</x:f>
        <x:v>180</x:v>
      </x:c>
      <x:c r="T408" s="25" t="n">
        <x:f>R408*S408</x:f>
        <x:v>0</x:v>
      </x:c>
      <x:c r="U408" s="24" t="str">
        <x:f>IF(T408&gt;0,"ERREUR chevauchement","OK aucun chevauchement")</x:f>
        <x:v>OK aucun chevauchement</x:v>
      </x:c>
      <x:c r="V408" s="24" t="str">
        <x:v>OK aucun chevauchement</x:v>
      </x:c>
      <x:c r="W408" s="24" t="str">
        <x:v>Si ERREUR : déplacer/redimensionner l’objet B ou créer un bookmark/masquage</x:v>
      </x:c>
    </x:row>
    <x:row r="409">
      <x:c r="A409" s="24" t="str">
        <x:v>Alertes</x:v>
      </x:c>
      <x:c r="B409" s="24" t="str">
        <x:v>G03_KPI_Row</x:v>
      </x:c>
      <x:c r="C409" s="24" t="str">
        <x:v>KPI_Card_01</x:v>
      </x:c>
      <x:c r="D409" s="24" t="str">
        <x:v>G04_Alertes</x:v>
      </x:c>
      <x:c r="E409" s="24" t="str">
        <x:v>Bloc_Niveaux_Alerte</x:v>
      </x:c>
      <x:c r="F409" s="25" t="n">
        <x:v>20</x:v>
      </x:c>
      <x:c r="G409" s="25" t="n">
        <x:v>330</x:v>
      </x:c>
      <x:c r="H409" s="25" t="n">
        <x:v>287</x:v>
      </x:c>
      <x:c r="I409" s="25" t="n">
        <x:v>180</x:v>
      </x:c>
      <x:c r="J409" s="25" t="n">
        <x:f>F409+H409</x:f>
        <x:v>307</x:v>
      </x:c>
      <x:c r="K409" s="25" t="n">
        <x:f>G409+I409</x:f>
        <x:v>510</x:v>
      </x:c>
      <x:c r="L409" s="25" t="n">
        <x:v>20</x:v>
      </x:c>
      <x:c r="M409" s="25" t="n">
        <x:v>535</x:v>
      </x:c>
      <x:c r="N409" s="25" t="n">
        <x:v>742</x:v>
      </x:c>
      <x:c r="O409" s="25" t="n">
        <x:v>330</x:v>
      </x:c>
      <x:c r="P409" s="25" t="n">
        <x:f>L409+N409</x:f>
        <x:v>762</x:v>
      </x:c>
      <x:c r="Q409" s="25" t="n">
        <x:f>M409+O409</x:f>
        <x:v>865</x:v>
      </x:c>
      <x:c r="R409" s="25" t="n">
        <x:f>MAX(0,MIN(J409,P409)-MAX(F409,L409))</x:f>
        <x:v>287</x:v>
      </x:c>
      <x:c r="S409" s="25" t="n">
        <x:f>MAX(0,MIN(K409,Q409)-MAX(G409,M409))</x:f>
        <x:v>0</x:v>
      </x:c>
      <x:c r="T409" s="25" t="n">
        <x:f>R409*S409</x:f>
        <x:v>0</x:v>
      </x:c>
      <x:c r="U409" s="24" t="str">
        <x:f>IF(T409&gt;0,"ERREUR chevauchement","OK aucun chevauchement")</x:f>
        <x:v>OK aucun chevauchement</x:v>
      </x:c>
      <x:c r="V409" s="24" t="str">
        <x:v>OK aucun chevauchement</x:v>
      </x:c>
      <x:c r="W409" s="24" t="str">
        <x:v>Si ERREUR : déplacer/redimensionner l’objet B ou créer un bookmark/masquage</x:v>
      </x:c>
    </x:row>
    <x:row r="410">
      <x:c r="A410" s="24" t="str">
        <x:v>Alertes</x:v>
      </x:c>
      <x:c r="B410" s="24" t="str">
        <x:v>G03_KPI_Row</x:v>
      </x:c>
      <x:c r="C410" s="24" t="str">
        <x:v>KPI_Card_01</x:v>
      </x:c>
      <x:c r="D410" s="24" t="str">
        <x:v>G04_Alertes</x:v>
      </x:c>
      <x:c r="E410" s="24" t="str">
        <x:v>Bloc_Recommandation</x:v>
      </x:c>
      <x:c r="F410" s="25" t="n">
        <x:v>20</x:v>
      </x:c>
      <x:c r="G410" s="25" t="n">
        <x:v>330</x:v>
      </x:c>
      <x:c r="H410" s="25" t="n">
        <x:v>287</x:v>
      </x:c>
      <x:c r="I410" s="25" t="n">
        <x:v>180</x:v>
      </x:c>
      <x:c r="J410" s="25" t="n">
        <x:f>F410+H410</x:f>
        <x:v>307</x:v>
      </x:c>
      <x:c r="K410" s="25" t="n">
        <x:f>G410+I410</x:f>
        <x:v>510</x:v>
      </x:c>
      <x:c r="L410" s="25" t="n">
        <x:v>778</x:v>
      </x:c>
      <x:c r="M410" s="25" t="n">
        <x:v>535</x:v>
      </x:c>
      <x:c r="N410" s="25" t="n">
        <x:v>742</x:v>
      </x:c>
      <x:c r="O410" s="25" t="n">
        <x:v>330</x:v>
      </x:c>
      <x:c r="P410" s="25" t="n">
        <x:f>L410+N410</x:f>
        <x:v>1520</x:v>
      </x:c>
      <x:c r="Q410" s="25" t="n">
        <x:f>M410+O410</x:f>
        <x:v>865</x:v>
      </x:c>
      <x:c r="R410" s="25" t="n">
        <x:f>MAX(0,MIN(J410,P410)-MAX(F410,L410))</x:f>
        <x:v>0</x:v>
      </x:c>
      <x:c r="S410" s="25" t="n">
        <x:f>MAX(0,MIN(K410,Q410)-MAX(G410,M410))</x:f>
        <x:v>0</x:v>
      </x:c>
      <x:c r="T410" s="25" t="n">
        <x:f>R410*S410</x:f>
        <x:v>0</x:v>
      </x:c>
      <x:c r="U410" s="24" t="str">
        <x:f>IF(T410&gt;0,"ERREUR chevauchement","OK aucun chevauchement")</x:f>
        <x:v>OK aucun chevauchement</x:v>
      </x:c>
      <x:c r="V410" s="24" t="str">
        <x:v>OK aucun chevauchement</x:v>
      </x:c>
      <x:c r="W410" s="24" t="str">
        <x:v>Si ERREUR : déplacer/redimensionner l’objet B ou créer un bookmark/masquage</x:v>
      </x:c>
    </x:row>
    <x:row r="411">
      <x:c r="A411" s="24" t="str">
        <x:v>Alertes</x:v>
      </x:c>
      <x:c r="B411" s="24" t="str">
        <x:v>G03_KPI_Row</x:v>
      </x:c>
      <x:c r="C411" s="24" t="str">
        <x:v>KPI_Card_01</x:v>
      </x:c>
      <x:c r="D411" s="24" t="str">
        <x:v>G05_Table</x:v>
      </x:c>
      <x:c r="E411" s="24" t="str">
        <x:v>Table_Detail_Alertes</x:v>
      </x:c>
      <x:c r="F411" s="25" t="n">
        <x:v>20</x:v>
      </x:c>
      <x:c r="G411" s="25" t="n">
        <x:v>330</x:v>
      </x:c>
      <x:c r="H411" s="25" t="n">
        <x:v>287</x:v>
      </x:c>
      <x:c r="I411" s="25" t="n">
        <x:v>180</x:v>
      </x:c>
      <x:c r="J411" s="25" t="n">
        <x:f>F411+H411</x:f>
        <x:v>307</x:v>
      </x:c>
      <x:c r="K411" s="25" t="n">
        <x:f>G411+I411</x:f>
        <x:v>510</x:v>
      </x:c>
      <x:c r="L411" s="25" t="n">
        <x:v>20</x:v>
      </x:c>
      <x:c r="M411" s="25" t="n">
        <x:v>885</x:v>
      </x:c>
      <x:c r="N411" s="25" t="n">
        <x:v>1500</x:v>
      </x:c>
      <x:c r="O411" s="25" t="n">
        <x:v>430</x:v>
      </x:c>
      <x:c r="P411" s="25" t="n">
        <x:f>L411+N411</x:f>
        <x:v>1520</x:v>
      </x:c>
      <x:c r="Q411" s="25" t="n">
        <x:f>M411+O411</x:f>
        <x:v>1315</x:v>
      </x:c>
      <x:c r="R411" s="25" t="n">
        <x:f>MAX(0,MIN(J411,P411)-MAX(F411,L411))</x:f>
        <x:v>287</x:v>
      </x:c>
      <x:c r="S411" s="25" t="n">
        <x:f>MAX(0,MIN(K411,Q411)-MAX(G411,M411))</x:f>
        <x:v>0</x:v>
      </x:c>
      <x:c r="T411" s="25" t="n">
        <x:f>R411*S411</x:f>
        <x:v>0</x:v>
      </x:c>
      <x:c r="U411" s="24" t="str">
        <x:f>IF(T411&gt;0,"ERREUR chevauchement","OK aucun chevauchement")</x:f>
        <x:v>OK aucun chevauchement</x:v>
      </x:c>
      <x:c r="V411" s="24" t="str">
        <x:v>OK aucun chevauchement</x:v>
      </x:c>
      <x:c r="W411" s="24" t="str">
        <x:v>Si ERREUR : déplacer/redimensionner l’objet B ou créer un bookmark/masquage</x:v>
      </x:c>
    </x:row>
    <x:row r="412">
      <x:c r="A412" s="24" t="str">
        <x:v>Alertes</x:v>
      </x:c>
      <x:c r="B412" s="24" t="str">
        <x:v>G03_KPI_Row</x:v>
      </x:c>
      <x:c r="C412" s="24" t="str">
        <x:v>KPI_Card_02</x:v>
      </x:c>
      <x:c r="D412" s="24" t="str">
        <x:v>G03_KPI_Row</x:v>
      </x:c>
      <x:c r="E412" s="24" t="str">
        <x:v>KPI_Card_03</x:v>
      </x:c>
      <x:c r="F412" s="25" t="n">
        <x:v>323</x:v>
      </x:c>
      <x:c r="G412" s="25" t="n">
        <x:v>330</x:v>
      </x:c>
      <x:c r="H412" s="25" t="n">
        <x:v>287</x:v>
      </x:c>
      <x:c r="I412" s="25" t="n">
        <x:v>180</x:v>
      </x:c>
      <x:c r="J412" s="25" t="n">
        <x:f>F412+H412</x:f>
        <x:v>610</x:v>
      </x:c>
      <x:c r="K412" s="25" t="n">
        <x:f>G412+I412</x:f>
        <x:v>510</x:v>
      </x:c>
      <x:c r="L412" s="25" t="n">
        <x:v>626</x:v>
      </x:c>
      <x:c r="M412" s="25" t="n">
        <x:v>330</x:v>
      </x:c>
      <x:c r="N412" s="25" t="n">
        <x:v>287</x:v>
      </x:c>
      <x:c r="O412" s="25" t="n">
        <x:v>180</x:v>
      </x:c>
      <x:c r="P412" s="25" t="n">
        <x:f>L412+N412</x:f>
        <x:v>913</x:v>
      </x:c>
      <x:c r="Q412" s="25" t="n">
        <x:f>M412+O412</x:f>
        <x:v>510</x:v>
      </x:c>
      <x:c r="R412" s="25" t="n">
        <x:f>MAX(0,MIN(J412,P412)-MAX(F412,L412))</x:f>
        <x:v>0</x:v>
      </x:c>
      <x:c r="S412" s="25" t="n">
        <x:f>MAX(0,MIN(K412,Q412)-MAX(G412,M412))</x:f>
        <x:v>180</x:v>
      </x:c>
      <x:c r="T412" s="25" t="n">
        <x:f>R412*S412</x:f>
        <x:v>0</x:v>
      </x:c>
      <x:c r="U412" s="24" t="str">
        <x:f>IF(T412&gt;0,"ERREUR chevauchement","OK aucun chevauchement")</x:f>
        <x:v>OK aucun chevauchement</x:v>
      </x:c>
      <x:c r="V412" s="24" t="str">
        <x:v>OK aucun chevauchement</x:v>
      </x:c>
      <x:c r="W412" s="24" t="str">
        <x:v>Si ERREUR : déplacer/redimensionner l’objet B ou créer un bookmark/masquage</x:v>
      </x:c>
    </x:row>
    <x:row r="413">
      <x:c r="A413" s="24" t="str">
        <x:v>Alertes</x:v>
      </x:c>
      <x:c r="B413" s="24" t="str">
        <x:v>G03_KPI_Row</x:v>
      </x:c>
      <x:c r="C413" s="24" t="str">
        <x:v>KPI_Card_02</x:v>
      </x:c>
      <x:c r="D413" s="24" t="str">
        <x:v>G03_KPI_Row</x:v>
      </x:c>
      <x:c r="E413" s="24" t="str">
        <x:v>KPI_Card_04</x:v>
      </x:c>
      <x:c r="F413" s="25" t="n">
        <x:v>323</x:v>
      </x:c>
      <x:c r="G413" s="25" t="n">
        <x:v>330</x:v>
      </x:c>
      <x:c r="H413" s="25" t="n">
        <x:v>287</x:v>
      </x:c>
      <x:c r="I413" s="25" t="n">
        <x:v>180</x:v>
      </x:c>
      <x:c r="J413" s="25" t="n">
        <x:f>F413+H413</x:f>
        <x:v>610</x:v>
      </x:c>
      <x:c r="K413" s="25" t="n">
        <x:f>G413+I413</x:f>
        <x:v>510</x:v>
      </x:c>
      <x:c r="L413" s="25" t="n">
        <x:v>929</x:v>
      </x:c>
      <x:c r="M413" s="25" t="n">
        <x:v>330</x:v>
      </x:c>
      <x:c r="N413" s="25" t="n">
        <x:v>287</x:v>
      </x:c>
      <x:c r="O413" s="25" t="n">
        <x:v>180</x:v>
      </x:c>
      <x:c r="P413" s="25" t="n">
        <x:f>L413+N413</x:f>
        <x:v>1216</x:v>
      </x:c>
      <x:c r="Q413" s="25" t="n">
        <x:f>M413+O413</x:f>
        <x:v>510</x:v>
      </x:c>
      <x:c r="R413" s="25" t="n">
        <x:f>MAX(0,MIN(J413,P413)-MAX(F413,L413))</x:f>
        <x:v>0</x:v>
      </x:c>
      <x:c r="S413" s="25" t="n">
        <x:f>MAX(0,MIN(K413,Q413)-MAX(G413,M413))</x:f>
        <x:v>180</x:v>
      </x:c>
      <x:c r="T413" s="25" t="n">
        <x:f>R413*S413</x:f>
        <x:v>0</x:v>
      </x:c>
      <x:c r="U413" s="24" t="str">
        <x:f>IF(T413&gt;0,"ERREUR chevauchement","OK aucun chevauchement")</x:f>
        <x:v>OK aucun chevauchement</x:v>
      </x:c>
      <x:c r="V413" s="24" t="str">
        <x:v>OK aucun chevauchement</x:v>
      </x:c>
      <x:c r="W413" s="24" t="str">
        <x:v>Si ERREUR : déplacer/redimensionner l’objet B ou créer un bookmark/masquage</x:v>
      </x:c>
    </x:row>
    <x:row r="414">
      <x:c r="A414" s="24" t="str">
        <x:v>Alertes</x:v>
      </x:c>
      <x:c r="B414" s="24" t="str">
        <x:v>G03_KPI_Row</x:v>
      </x:c>
      <x:c r="C414" s="24" t="str">
        <x:v>KPI_Card_02</x:v>
      </x:c>
      <x:c r="D414" s="24" t="str">
        <x:v>G03_KPI_Row</x:v>
      </x:c>
      <x:c r="E414" s="24" t="str">
        <x:v>KPI_Card_05</x:v>
      </x:c>
      <x:c r="F414" s="25" t="n">
        <x:v>323</x:v>
      </x:c>
      <x:c r="G414" s="25" t="n">
        <x:v>330</x:v>
      </x:c>
      <x:c r="H414" s="25" t="n">
        <x:v>287</x:v>
      </x:c>
      <x:c r="I414" s="25" t="n">
        <x:v>180</x:v>
      </x:c>
      <x:c r="J414" s="25" t="n">
        <x:f>F414+H414</x:f>
        <x:v>610</x:v>
      </x:c>
      <x:c r="K414" s="25" t="n">
        <x:f>G414+I414</x:f>
        <x:v>510</x:v>
      </x:c>
      <x:c r="L414" s="25" t="n">
        <x:v>1232</x:v>
      </x:c>
      <x:c r="M414" s="25" t="n">
        <x:v>330</x:v>
      </x:c>
      <x:c r="N414" s="25" t="n">
        <x:v>287</x:v>
      </x:c>
      <x:c r="O414" s="25" t="n">
        <x:v>180</x:v>
      </x:c>
      <x:c r="P414" s="25" t="n">
        <x:f>L414+N414</x:f>
        <x:v>1519</x:v>
      </x:c>
      <x:c r="Q414" s="25" t="n">
        <x:f>M414+O414</x:f>
        <x:v>510</x:v>
      </x:c>
      <x:c r="R414" s="25" t="n">
        <x:f>MAX(0,MIN(J414,P414)-MAX(F414,L414))</x:f>
        <x:v>0</x:v>
      </x:c>
      <x:c r="S414" s="25" t="n">
        <x:f>MAX(0,MIN(K414,Q414)-MAX(G414,M414))</x:f>
        <x:v>180</x:v>
      </x:c>
      <x:c r="T414" s="25" t="n">
        <x:f>R414*S414</x:f>
        <x:v>0</x:v>
      </x:c>
      <x:c r="U414" s="24" t="str">
        <x:f>IF(T414&gt;0,"ERREUR chevauchement","OK aucun chevauchement")</x:f>
        <x:v>OK aucun chevauchement</x:v>
      </x:c>
      <x:c r="V414" s="24" t="str">
        <x:v>OK aucun chevauchement</x:v>
      </x:c>
      <x:c r="W414" s="24" t="str">
        <x:v>Si ERREUR : déplacer/redimensionner l’objet B ou créer un bookmark/masquage</x:v>
      </x:c>
    </x:row>
    <x:row r="415">
      <x:c r="A415" s="24" t="str">
        <x:v>Alertes</x:v>
      </x:c>
      <x:c r="B415" s="24" t="str">
        <x:v>G03_KPI_Row</x:v>
      </x:c>
      <x:c r="C415" s="24" t="str">
        <x:v>KPI_Card_02</x:v>
      </x:c>
      <x:c r="D415" s="24" t="str">
        <x:v>G04_Alertes</x:v>
      </x:c>
      <x:c r="E415" s="24" t="str">
        <x:v>Bloc_Niveaux_Alerte</x:v>
      </x:c>
      <x:c r="F415" s="25" t="n">
        <x:v>323</x:v>
      </x:c>
      <x:c r="G415" s="25" t="n">
        <x:v>330</x:v>
      </x:c>
      <x:c r="H415" s="25" t="n">
        <x:v>287</x:v>
      </x:c>
      <x:c r="I415" s="25" t="n">
        <x:v>180</x:v>
      </x:c>
      <x:c r="J415" s="25" t="n">
        <x:f>F415+H415</x:f>
        <x:v>610</x:v>
      </x:c>
      <x:c r="K415" s="25" t="n">
        <x:f>G415+I415</x:f>
        <x:v>510</x:v>
      </x:c>
      <x:c r="L415" s="25" t="n">
        <x:v>20</x:v>
      </x:c>
      <x:c r="M415" s="25" t="n">
        <x:v>535</x:v>
      </x:c>
      <x:c r="N415" s="25" t="n">
        <x:v>742</x:v>
      </x:c>
      <x:c r="O415" s="25" t="n">
        <x:v>330</x:v>
      </x:c>
      <x:c r="P415" s="25" t="n">
        <x:f>L415+N415</x:f>
        <x:v>762</x:v>
      </x:c>
      <x:c r="Q415" s="25" t="n">
        <x:f>M415+O415</x:f>
        <x:v>865</x:v>
      </x:c>
      <x:c r="R415" s="25" t="n">
        <x:f>MAX(0,MIN(J415,P415)-MAX(F415,L415))</x:f>
        <x:v>287</x:v>
      </x:c>
      <x:c r="S415" s="25" t="n">
        <x:f>MAX(0,MIN(K415,Q415)-MAX(G415,M415))</x:f>
        <x:v>0</x:v>
      </x:c>
      <x:c r="T415" s="25" t="n">
        <x:f>R415*S415</x:f>
        <x:v>0</x:v>
      </x:c>
      <x:c r="U415" s="24" t="str">
        <x:f>IF(T415&gt;0,"ERREUR chevauchement","OK aucun chevauchement")</x:f>
        <x:v>OK aucun chevauchement</x:v>
      </x:c>
      <x:c r="V415" s="24" t="str">
        <x:v>OK aucun chevauchement</x:v>
      </x:c>
      <x:c r="W415" s="24" t="str">
        <x:v>Si ERREUR : déplacer/redimensionner l’objet B ou créer un bookmark/masquage</x:v>
      </x:c>
    </x:row>
    <x:row r="416">
      <x:c r="A416" s="24" t="str">
        <x:v>Alertes</x:v>
      </x:c>
      <x:c r="B416" s="24" t="str">
        <x:v>G03_KPI_Row</x:v>
      </x:c>
      <x:c r="C416" s="24" t="str">
        <x:v>KPI_Card_02</x:v>
      </x:c>
      <x:c r="D416" s="24" t="str">
        <x:v>G04_Alertes</x:v>
      </x:c>
      <x:c r="E416" s="24" t="str">
        <x:v>Bloc_Recommandation</x:v>
      </x:c>
      <x:c r="F416" s="25" t="n">
        <x:v>323</x:v>
      </x:c>
      <x:c r="G416" s="25" t="n">
        <x:v>330</x:v>
      </x:c>
      <x:c r="H416" s="25" t="n">
        <x:v>287</x:v>
      </x:c>
      <x:c r="I416" s="25" t="n">
        <x:v>180</x:v>
      </x:c>
      <x:c r="J416" s="25" t="n">
        <x:f>F416+H416</x:f>
        <x:v>610</x:v>
      </x:c>
      <x:c r="K416" s="25" t="n">
        <x:f>G416+I416</x:f>
        <x:v>510</x:v>
      </x:c>
      <x:c r="L416" s="25" t="n">
        <x:v>778</x:v>
      </x:c>
      <x:c r="M416" s="25" t="n">
        <x:v>535</x:v>
      </x:c>
      <x:c r="N416" s="25" t="n">
        <x:v>742</x:v>
      </x:c>
      <x:c r="O416" s="25" t="n">
        <x:v>330</x:v>
      </x:c>
      <x:c r="P416" s="25" t="n">
        <x:f>L416+N416</x:f>
        <x:v>1520</x:v>
      </x:c>
      <x:c r="Q416" s="25" t="n">
        <x:f>M416+O416</x:f>
        <x:v>865</x:v>
      </x:c>
      <x:c r="R416" s="25" t="n">
        <x:f>MAX(0,MIN(J416,P416)-MAX(F416,L416))</x:f>
        <x:v>0</x:v>
      </x:c>
      <x:c r="S416" s="25" t="n">
        <x:f>MAX(0,MIN(K416,Q416)-MAX(G416,M416))</x:f>
        <x:v>0</x:v>
      </x:c>
      <x:c r="T416" s="25" t="n">
        <x:f>R416*S416</x:f>
        <x:v>0</x:v>
      </x:c>
      <x:c r="U416" s="24" t="str">
        <x:f>IF(T416&gt;0,"ERREUR chevauchement","OK aucun chevauchement")</x:f>
        <x:v>OK aucun chevauchement</x:v>
      </x:c>
      <x:c r="V416" s="24" t="str">
        <x:v>OK aucun chevauchement</x:v>
      </x:c>
      <x:c r="W416" s="24" t="str">
        <x:v>Si ERREUR : déplacer/redimensionner l’objet B ou créer un bookmark/masquage</x:v>
      </x:c>
    </x:row>
    <x:row r="417">
      <x:c r="A417" s="24" t="str">
        <x:v>Alertes</x:v>
      </x:c>
      <x:c r="B417" s="24" t="str">
        <x:v>G03_KPI_Row</x:v>
      </x:c>
      <x:c r="C417" s="24" t="str">
        <x:v>KPI_Card_02</x:v>
      </x:c>
      <x:c r="D417" s="24" t="str">
        <x:v>G05_Table</x:v>
      </x:c>
      <x:c r="E417" s="24" t="str">
        <x:v>Table_Detail_Alertes</x:v>
      </x:c>
      <x:c r="F417" s="25" t="n">
        <x:v>323</x:v>
      </x:c>
      <x:c r="G417" s="25" t="n">
        <x:v>330</x:v>
      </x:c>
      <x:c r="H417" s="25" t="n">
        <x:v>287</x:v>
      </x:c>
      <x:c r="I417" s="25" t="n">
        <x:v>180</x:v>
      </x:c>
      <x:c r="J417" s="25" t="n">
        <x:f>F417+H417</x:f>
        <x:v>610</x:v>
      </x:c>
      <x:c r="K417" s="25" t="n">
        <x:f>G417+I417</x:f>
        <x:v>510</x:v>
      </x:c>
      <x:c r="L417" s="25" t="n">
        <x:v>20</x:v>
      </x:c>
      <x:c r="M417" s="25" t="n">
        <x:v>885</x:v>
      </x:c>
      <x:c r="N417" s="25" t="n">
        <x:v>1500</x:v>
      </x:c>
      <x:c r="O417" s="25" t="n">
        <x:v>430</x:v>
      </x:c>
      <x:c r="P417" s="25" t="n">
        <x:f>L417+N417</x:f>
        <x:v>1520</x:v>
      </x:c>
      <x:c r="Q417" s="25" t="n">
        <x:f>M417+O417</x:f>
        <x:v>1315</x:v>
      </x:c>
      <x:c r="R417" s="25" t="n">
        <x:f>MAX(0,MIN(J417,P417)-MAX(F417,L417))</x:f>
        <x:v>287</x:v>
      </x:c>
      <x:c r="S417" s="25" t="n">
        <x:f>MAX(0,MIN(K417,Q417)-MAX(G417,M417))</x:f>
        <x:v>0</x:v>
      </x:c>
      <x:c r="T417" s="25" t="n">
        <x:f>R417*S417</x:f>
        <x:v>0</x:v>
      </x:c>
      <x:c r="U417" s="24" t="str">
        <x:f>IF(T417&gt;0,"ERREUR chevauchement","OK aucun chevauchement")</x:f>
        <x:v>OK aucun chevauchement</x:v>
      </x:c>
      <x:c r="V417" s="24" t="str">
        <x:v>OK aucun chevauchement</x:v>
      </x:c>
      <x:c r="W417" s="24" t="str">
        <x:v>Si ERREUR : déplacer/redimensionner l’objet B ou créer un bookmark/masquage</x:v>
      </x:c>
    </x:row>
    <x:row r="418">
      <x:c r="A418" s="24" t="str">
        <x:v>Alertes</x:v>
      </x:c>
      <x:c r="B418" s="24" t="str">
        <x:v>G03_KPI_Row</x:v>
      </x:c>
      <x:c r="C418" s="24" t="str">
        <x:v>KPI_Card_03</x:v>
      </x:c>
      <x:c r="D418" s="24" t="str">
        <x:v>G03_KPI_Row</x:v>
      </x:c>
      <x:c r="E418" s="24" t="str">
        <x:v>KPI_Card_04</x:v>
      </x:c>
      <x:c r="F418" s="25" t="n">
        <x:v>626</x:v>
      </x:c>
      <x:c r="G418" s="25" t="n">
        <x:v>330</x:v>
      </x:c>
      <x:c r="H418" s="25" t="n">
        <x:v>287</x:v>
      </x:c>
      <x:c r="I418" s="25" t="n">
        <x:v>180</x:v>
      </x:c>
      <x:c r="J418" s="25" t="n">
        <x:f>F418+H418</x:f>
        <x:v>913</x:v>
      </x:c>
      <x:c r="K418" s="25" t="n">
        <x:f>G418+I418</x:f>
        <x:v>510</x:v>
      </x:c>
      <x:c r="L418" s="25" t="n">
        <x:v>929</x:v>
      </x:c>
      <x:c r="M418" s="25" t="n">
        <x:v>330</x:v>
      </x:c>
      <x:c r="N418" s="25" t="n">
        <x:v>287</x:v>
      </x:c>
      <x:c r="O418" s="25" t="n">
        <x:v>180</x:v>
      </x:c>
      <x:c r="P418" s="25" t="n">
        <x:f>L418+N418</x:f>
        <x:v>1216</x:v>
      </x:c>
      <x:c r="Q418" s="25" t="n">
        <x:f>M418+O418</x:f>
        <x:v>510</x:v>
      </x:c>
      <x:c r="R418" s="25" t="n">
        <x:f>MAX(0,MIN(J418,P418)-MAX(F418,L418))</x:f>
        <x:v>0</x:v>
      </x:c>
      <x:c r="S418" s="25" t="n">
        <x:f>MAX(0,MIN(K418,Q418)-MAX(G418,M418))</x:f>
        <x:v>180</x:v>
      </x:c>
      <x:c r="T418" s="25" t="n">
        <x:f>R418*S418</x:f>
        <x:v>0</x:v>
      </x:c>
      <x:c r="U418" s="24" t="str">
        <x:f>IF(T418&gt;0,"ERREUR chevauchement","OK aucun chevauchement")</x:f>
        <x:v>OK aucun chevauchement</x:v>
      </x:c>
      <x:c r="V418" s="24" t="str">
        <x:v>OK aucun chevauchement</x:v>
      </x:c>
      <x:c r="W418" s="24" t="str">
        <x:v>Si ERREUR : déplacer/redimensionner l’objet B ou créer un bookmark/masquage</x:v>
      </x:c>
    </x:row>
    <x:row r="419">
      <x:c r="A419" s="24" t="str">
        <x:v>Alertes</x:v>
      </x:c>
      <x:c r="B419" s="24" t="str">
        <x:v>G03_KPI_Row</x:v>
      </x:c>
      <x:c r="C419" s="24" t="str">
        <x:v>KPI_Card_03</x:v>
      </x:c>
      <x:c r="D419" s="24" t="str">
        <x:v>G03_KPI_Row</x:v>
      </x:c>
      <x:c r="E419" s="24" t="str">
        <x:v>KPI_Card_05</x:v>
      </x:c>
      <x:c r="F419" s="25" t="n">
        <x:v>626</x:v>
      </x:c>
      <x:c r="G419" s="25" t="n">
        <x:v>330</x:v>
      </x:c>
      <x:c r="H419" s="25" t="n">
        <x:v>287</x:v>
      </x:c>
      <x:c r="I419" s="25" t="n">
        <x:v>180</x:v>
      </x:c>
      <x:c r="J419" s="25" t="n">
        <x:f>F419+H419</x:f>
        <x:v>913</x:v>
      </x:c>
      <x:c r="K419" s="25" t="n">
        <x:f>G419+I419</x:f>
        <x:v>510</x:v>
      </x:c>
      <x:c r="L419" s="25" t="n">
        <x:v>1232</x:v>
      </x:c>
      <x:c r="M419" s="25" t="n">
        <x:v>330</x:v>
      </x:c>
      <x:c r="N419" s="25" t="n">
        <x:v>287</x:v>
      </x:c>
      <x:c r="O419" s="25" t="n">
        <x:v>180</x:v>
      </x:c>
      <x:c r="P419" s="25" t="n">
        <x:f>L419+N419</x:f>
        <x:v>1519</x:v>
      </x:c>
      <x:c r="Q419" s="25" t="n">
        <x:f>M419+O419</x:f>
        <x:v>510</x:v>
      </x:c>
      <x:c r="R419" s="25" t="n">
        <x:f>MAX(0,MIN(J419,P419)-MAX(F419,L419))</x:f>
        <x:v>0</x:v>
      </x:c>
      <x:c r="S419" s="25" t="n">
        <x:f>MAX(0,MIN(K419,Q419)-MAX(G419,M419))</x:f>
        <x:v>180</x:v>
      </x:c>
      <x:c r="T419" s="25" t="n">
        <x:f>R419*S419</x:f>
        <x:v>0</x:v>
      </x:c>
      <x:c r="U419" s="24" t="str">
        <x:f>IF(T419&gt;0,"ERREUR chevauchement","OK aucun chevauchement")</x:f>
        <x:v>OK aucun chevauchement</x:v>
      </x:c>
      <x:c r="V419" s="24" t="str">
        <x:v>OK aucun chevauchement</x:v>
      </x:c>
      <x:c r="W419" s="24" t="str">
        <x:v>Si ERREUR : déplacer/redimensionner l’objet B ou créer un bookmark/masquage</x:v>
      </x:c>
    </x:row>
    <x:row r="420">
      <x:c r="A420" s="24" t="str">
        <x:v>Alertes</x:v>
      </x:c>
      <x:c r="B420" s="24" t="str">
        <x:v>G03_KPI_Row</x:v>
      </x:c>
      <x:c r="C420" s="24" t="str">
        <x:v>KPI_Card_03</x:v>
      </x:c>
      <x:c r="D420" s="24" t="str">
        <x:v>G04_Alertes</x:v>
      </x:c>
      <x:c r="E420" s="24" t="str">
        <x:v>Bloc_Niveaux_Alerte</x:v>
      </x:c>
      <x:c r="F420" s="25" t="n">
        <x:v>626</x:v>
      </x:c>
      <x:c r="G420" s="25" t="n">
        <x:v>330</x:v>
      </x:c>
      <x:c r="H420" s="25" t="n">
        <x:v>287</x:v>
      </x:c>
      <x:c r="I420" s="25" t="n">
        <x:v>180</x:v>
      </x:c>
      <x:c r="J420" s="25" t="n">
        <x:f>F420+H420</x:f>
        <x:v>913</x:v>
      </x:c>
      <x:c r="K420" s="25" t="n">
        <x:f>G420+I420</x:f>
        <x:v>510</x:v>
      </x:c>
      <x:c r="L420" s="25" t="n">
        <x:v>20</x:v>
      </x:c>
      <x:c r="M420" s="25" t="n">
        <x:v>535</x:v>
      </x:c>
      <x:c r="N420" s="25" t="n">
        <x:v>742</x:v>
      </x:c>
      <x:c r="O420" s="25" t="n">
        <x:v>330</x:v>
      </x:c>
      <x:c r="P420" s="25" t="n">
        <x:f>L420+N420</x:f>
        <x:v>762</x:v>
      </x:c>
      <x:c r="Q420" s="25" t="n">
        <x:f>M420+O420</x:f>
        <x:v>865</x:v>
      </x:c>
      <x:c r="R420" s="25" t="n">
        <x:f>MAX(0,MIN(J420,P420)-MAX(F420,L420))</x:f>
        <x:v>136</x:v>
      </x:c>
      <x:c r="S420" s="25" t="n">
        <x:f>MAX(0,MIN(K420,Q420)-MAX(G420,M420))</x:f>
        <x:v>0</x:v>
      </x:c>
      <x:c r="T420" s="25" t="n">
        <x:f>R420*S420</x:f>
        <x:v>0</x:v>
      </x:c>
      <x:c r="U420" s="24" t="str">
        <x:f>IF(T420&gt;0,"ERREUR chevauchement","OK aucun chevauchement")</x:f>
        <x:v>OK aucun chevauchement</x:v>
      </x:c>
      <x:c r="V420" s="24" t="str">
        <x:v>OK aucun chevauchement</x:v>
      </x:c>
      <x:c r="W420" s="24" t="str">
        <x:v>Si ERREUR : déplacer/redimensionner l’objet B ou créer un bookmark/masquage</x:v>
      </x:c>
    </x:row>
    <x:row r="421">
      <x:c r="A421" s="24" t="str">
        <x:v>Alertes</x:v>
      </x:c>
      <x:c r="B421" s="24" t="str">
        <x:v>G03_KPI_Row</x:v>
      </x:c>
      <x:c r="C421" s="24" t="str">
        <x:v>KPI_Card_03</x:v>
      </x:c>
      <x:c r="D421" s="24" t="str">
        <x:v>G04_Alertes</x:v>
      </x:c>
      <x:c r="E421" s="24" t="str">
        <x:v>Bloc_Recommandation</x:v>
      </x:c>
      <x:c r="F421" s="25" t="n">
        <x:v>626</x:v>
      </x:c>
      <x:c r="G421" s="25" t="n">
        <x:v>330</x:v>
      </x:c>
      <x:c r="H421" s="25" t="n">
        <x:v>287</x:v>
      </x:c>
      <x:c r="I421" s="25" t="n">
        <x:v>180</x:v>
      </x:c>
      <x:c r="J421" s="25" t="n">
        <x:f>F421+H421</x:f>
        <x:v>913</x:v>
      </x:c>
      <x:c r="K421" s="25" t="n">
        <x:f>G421+I421</x:f>
        <x:v>510</x:v>
      </x:c>
      <x:c r="L421" s="25" t="n">
        <x:v>778</x:v>
      </x:c>
      <x:c r="M421" s="25" t="n">
        <x:v>535</x:v>
      </x:c>
      <x:c r="N421" s="25" t="n">
        <x:v>742</x:v>
      </x:c>
      <x:c r="O421" s="25" t="n">
        <x:v>330</x:v>
      </x:c>
      <x:c r="P421" s="25" t="n">
        <x:f>L421+N421</x:f>
        <x:v>1520</x:v>
      </x:c>
      <x:c r="Q421" s="25" t="n">
        <x:f>M421+O421</x:f>
        <x:v>865</x:v>
      </x:c>
      <x:c r="R421" s="25" t="n">
        <x:f>MAX(0,MIN(J421,P421)-MAX(F421,L421))</x:f>
        <x:v>135</x:v>
      </x:c>
      <x:c r="S421" s="25" t="n">
        <x:f>MAX(0,MIN(K421,Q421)-MAX(G421,M421))</x:f>
        <x:v>0</x:v>
      </x:c>
      <x:c r="T421" s="25" t="n">
        <x:f>R421*S421</x:f>
        <x:v>0</x:v>
      </x:c>
      <x:c r="U421" s="24" t="str">
        <x:f>IF(T421&gt;0,"ERREUR chevauchement","OK aucun chevauchement")</x:f>
        <x:v>OK aucun chevauchement</x:v>
      </x:c>
      <x:c r="V421" s="24" t="str">
        <x:v>OK aucun chevauchement</x:v>
      </x:c>
      <x:c r="W421" s="24" t="str">
        <x:v>Si ERREUR : déplacer/redimensionner l’objet B ou créer un bookmark/masquage</x:v>
      </x:c>
    </x:row>
    <x:row r="422">
      <x:c r="A422" s="24" t="str">
        <x:v>Alertes</x:v>
      </x:c>
      <x:c r="B422" s="24" t="str">
        <x:v>G03_KPI_Row</x:v>
      </x:c>
      <x:c r="C422" s="24" t="str">
        <x:v>KPI_Card_03</x:v>
      </x:c>
      <x:c r="D422" s="24" t="str">
        <x:v>G05_Table</x:v>
      </x:c>
      <x:c r="E422" s="24" t="str">
        <x:v>Table_Detail_Alertes</x:v>
      </x:c>
      <x:c r="F422" s="25" t="n">
        <x:v>626</x:v>
      </x:c>
      <x:c r="G422" s="25" t="n">
        <x:v>330</x:v>
      </x:c>
      <x:c r="H422" s="25" t="n">
        <x:v>287</x:v>
      </x:c>
      <x:c r="I422" s="25" t="n">
        <x:v>180</x:v>
      </x:c>
      <x:c r="J422" s="25" t="n">
        <x:f>F422+H422</x:f>
        <x:v>913</x:v>
      </x:c>
      <x:c r="K422" s="25" t="n">
        <x:f>G422+I422</x:f>
        <x:v>510</x:v>
      </x:c>
      <x:c r="L422" s="25" t="n">
        <x:v>20</x:v>
      </x:c>
      <x:c r="M422" s="25" t="n">
        <x:v>885</x:v>
      </x:c>
      <x:c r="N422" s="25" t="n">
        <x:v>1500</x:v>
      </x:c>
      <x:c r="O422" s="25" t="n">
        <x:v>430</x:v>
      </x:c>
      <x:c r="P422" s="25" t="n">
        <x:f>L422+N422</x:f>
        <x:v>1520</x:v>
      </x:c>
      <x:c r="Q422" s="25" t="n">
        <x:f>M422+O422</x:f>
        <x:v>1315</x:v>
      </x:c>
      <x:c r="R422" s="25" t="n">
        <x:f>MAX(0,MIN(J422,P422)-MAX(F422,L422))</x:f>
        <x:v>287</x:v>
      </x:c>
      <x:c r="S422" s="25" t="n">
        <x:f>MAX(0,MIN(K422,Q422)-MAX(G422,M422))</x:f>
        <x:v>0</x:v>
      </x:c>
      <x:c r="T422" s="25" t="n">
        <x:f>R422*S422</x:f>
        <x:v>0</x:v>
      </x:c>
      <x:c r="U422" s="24" t="str">
        <x:f>IF(T422&gt;0,"ERREUR chevauchement","OK aucun chevauchement")</x:f>
        <x:v>OK aucun chevauchement</x:v>
      </x:c>
      <x:c r="V422" s="24" t="str">
        <x:v>OK aucun chevauchement</x:v>
      </x:c>
      <x:c r="W422" s="24" t="str">
        <x:v>Si ERREUR : déplacer/redimensionner l’objet B ou créer un bookmark/masquage</x:v>
      </x:c>
    </x:row>
    <x:row r="423">
      <x:c r="A423" s="24" t="str">
        <x:v>Alertes</x:v>
      </x:c>
      <x:c r="B423" s="24" t="str">
        <x:v>G03_KPI_Row</x:v>
      </x:c>
      <x:c r="C423" s="24" t="str">
        <x:v>KPI_Card_04</x:v>
      </x:c>
      <x:c r="D423" s="24" t="str">
        <x:v>G03_KPI_Row</x:v>
      </x:c>
      <x:c r="E423" s="24" t="str">
        <x:v>KPI_Card_05</x:v>
      </x:c>
      <x:c r="F423" s="25" t="n">
        <x:v>929</x:v>
      </x:c>
      <x:c r="G423" s="25" t="n">
        <x:v>330</x:v>
      </x:c>
      <x:c r="H423" s="25" t="n">
        <x:v>287</x:v>
      </x:c>
      <x:c r="I423" s="25" t="n">
        <x:v>180</x:v>
      </x:c>
      <x:c r="J423" s="25" t="n">
        <x:f>F423+H423</x:f>
        <x:v>1216</x:v>
      </x:c>
      <x:c r="K423" s="25" t="n">
        <x:f>G423+I423</x:f>
        <x:v>510</x:v>
      </x:c>
      <x:c r="L423" s="25" t="n">
        <x:v>1232</x:v>
      </x:c>
      <x:c r="M423" s="25" t="n">
        <x:v>330</x:v>
      </x:c>
      <x:c r="N423" s="25" t="n">
        <x:v>287</x:v>
      </x:c>
      <x:c r="O423" s="25" t="n">
        <x:v>180</x:v>
      </x:c>
      <x:c r="P423" s="25" t="n">
        <x:f>L423+N423</x:f>
        <x:v>1519</x:v>
      </x:c>
      <x:c r="Q423" s="25" t="n">
        <x:f>M423+O423</x:f>
        <x:v>510</x:v>
      </x:c>
      <x:c r="R423" s="25" t="n">
        <x:f>MAX(0,MIN(J423,P423)-MAX(F423,L423))</x:f>
        <x:v>0</x:v>
      </x:c>
      <x:c r="S423" s="25" t="n">
        <x:f>MAX(0,MIN(K423,Q423)-MAX(G423,M423))</x:f>
        <x:v>180</x:v>
      </x:c>
      <x:c r="T423" s="25" t="n">
        <x:f>R423*S423</x:f>
        <x:v>0</x:v>
      </x:c>
      <x:c r="U423" s="24" t="str">
        <x:f>IF(T423&gt;0,"ERREUR chevauchement","OK aucun chevauchement")</x:f>
        <x:v>OK aucun chevauchement</x:v>
      </x:c>
      <x:c r="V423" s="24" t="str">
        <x:v>OK aucun chevauchement</x:v>
      </x:c>
      <x:c r="W423" s="24" t="str">
        <x:v>Si ERREUR : déplacer/redimensionner l’objet B ou créer un bookmark/masquage</x:v>
      </x:c>
    </x:row>
    <x:row r="424">
      <x:c r="A424" s="24" t="str">
        <x:v>Alertes</x:v>
      </x:c>
      <x:c r="B424" s="24" t="str">
        <x:v>G03_KPI_Row</x:v>
      </x:c>
      <x:c r="C424" s="24" t="str">
        <x:v>KPI_Card_04</x:v>
      </x:c>
      <x:c r="D424" s="24" t="str">
        <x:v>G04_Alertes</x:v>
      </x:c>
      <x:c r="E424" s="24" t="str">
        <x:v>Bloc_Niveaux_Alerte</x:v>
      </x:c>
      <x:c r="F424" s="25" t="n">
        <x:v>929</x:v>
      </x:c>
      <x:c r="G424" s="25" t="n">
        <x:v>330</x:v>
      </x:c>
      <x:c r="H424" s="25" t="n">
        <x:v>287</x:v>
      </x:c>
      <x:c r="I424" s="25" t="n">
        <x:v>180</x:v>
      </x:c>
      <x:c r="J424" s="25" t="n">
        <x:f>F424+H424</x:f>
        <x:v>1216</x:v>
      </x:c>
      <x:c r="K424" s="25" t="n">
        <x:f>G424+I424</x:f>
        <x:v>510</x:v>
      </x:c>
      <x:c r="L424" s="25" t="n">
        <x:v>20</x:v>
      </x:c>
      <x:c r="M424" s="25" t="n">
        <x:v>535</x:v>
      </x:c>
      <x:c r="N424" s="25" t="n">
        <x:v>742</x:v>
      </x:c>
      <x:c r="O424" s="25" t="n">
        <x:v>330</x:v>
      </x:c>
      <x:c r="P424" s="25" t="n">
        <x:f>L424+N424</x:f>
        <x:v>762</x:v>
      </x:c>
      <x:c r="Q424" s="25" t="n">
        <x:f>M424+O424</x:f>
        <x:v>865</x:v>
      </x:c>
      <x:c r="R424" s="25" t="n">
        <x:f>MAX(0,MIN(J424,P424)-MAX(F424,L424))</x:f>
        <x:v>0</x:v>
      </x:c>
      <x:c r="S424" s="25" t="n">
        <x:f>MAX(0,MIN(K424,Q424)-MAX(G424,M424))</x:f>
        <x:v>0</x:v>
      </x:c>
      <x:c r="T424" s="25" t="n">
        <x:f>R424*S424</x:f>
        <x:v>0</x:v>
      </x:c>
      <x:c r="U424" s="24" t="str">
        <x:f>IF(T424&gt;0,"ERREUR chevauchement","OK aucun chevauchement")</x:f>
        <x:v>OK aucun chevauchement</x:v>
      </x:c>
      <x:c r="V424" s="24" t="str">
        <x:v>OK aucun chevauchement</x:v>
      </x:c>
      <x:c r="W424" s="24" t="str">
        <x:v>Si ERREUR : déplacer/redimensionner l’objet B ou créer un bookmark/masquage</x:v>
      </x:c>
    </x:row>
    <x:row r="425">
      <x:c r="A425" s="24" t="str">
        <x:v>Alertes</x:v>
      </x:c>
      <x:c r="B425" s="24" t="str">
        <x:v>G03_KPI_Row</x:v>
      </x:c>
      <x:c r="C425" s="24" t="str">
        <x:v>KPI_Card_04</x:v>
      </x:c>
      <x:c r="D425" s="24" t="str">
        <x:v>G04_Alertes</x:v>
      </x:c>
      <x:c r="E425" s="24" t="str">
        <x:v>Bloc_Recommandation</x:v>
      </x:c>
      <x:c r="F425" s="25" t="n">
        <x:v>929</x:v>
      </x:c>
      <x:c r="G425" s="25" t="n">
        <x:v>330</x:v>
      </x:c>
      <x:c r="H425" s="25" t="n">
        <x:v>287</x:v>
      </x:c>
      <x:c r="I425" s="25" t="n">
        <x:v>180</x:v>
      </x:c>
      <x:c r="J425" s="25" t="n">
        <x:f>F425+H425</x:f>
        <x:v>1216</x:v>
      </x:c>
      <x:c r="K425" s="25" t="n">
        <x:f>G425+I425</x:f>
        <x:v>510</x:v>
      </x:c>
      <x:c r="L425" s="25" t="n">
        <x:v>778</x:v>
      </x:c>
      <x:c r="M425" s="25" t="n">
        <x:v>535</x:v>
      </x:c>
      <x:c r="N425" s="25" t="n">
        <x:v>742</x:v>
      </x:c>
      <x:c r="O425" s="25" t="n">
        <x:v>330</x:v>
      </x:c>
      <x:c r="P425" s="25" t="n">
        <x:f>L425+N425</x:f>
        <x:v>1520</x:v>
      </x:c>
      <x:c r="Q425" s="25" t="n">
        <x:f>M425+O425</x:f>
        <x:v>865</x:v>
      </x:c>
      <x:c r="R425" s="25" t="n">
        <x:f>MAX(0,MIN(J425,P425)-MAX(F425,L425))</x:f>
        <x:v>287</x:v>
      </x:c>
      <x:c r="S425" s="25" t="n">
        <x:f>MAX(0,MIN(K425,Q425)-MAX(G425,M425))</x:f>
        <x:v>0</x:v>
      </x:c>
      <x:c r="T425" s="25" t="n">
        <x:f>R425*S425</x:f>
        <x:v>0</x:v>
      </x:c>
      <x:c r="U425" s="24" t="str">
        <x:f>IF(T425&gt;0,"ERREUR chevauchement","OK aucun chevauchement")</x:f>
        <x:v>OK aucun chevauchement</x:v>
      </x:c>
      <x:c r="V425" s="24" t="str">
        <x:v>OK aucun chevauchement</x:v>
      </x:c>
      <x:c r="W425" s="24" t="str">
        <x:v>Si ERREUR : déplacer/redimensionner l’objet B ou créer un bookmark/masquage</x:v>
      </x:c>
    </x:row>
    <x:row r="426">
      <x:c r="A426" s="24" t="str">
        <x:v>Alertes</x:v>
      </x:c>
      <x:c r="B426" s="24" t="str">
        <x:v>G03_KPI_Row</x:v>
      </x:c>
      <x:c r="C426" s="24" t="str">
        <x:v>KPI_Card_04</x:v>
      </x:c>
      <x:c r="D426" s="24" t="str">
        <x:v>G05_Table</x:v>
      </x:c>
      <x:c r="E426" s="24" t="str">
        <x:v>Table_Detail_Alertes</x:v>
      </x:c>
      <x:c r="F426" s="25" t="n">
        <x:v>929</x:v>
      </x:c>
      <x:c r="G426" s="25" t="n">
        <x:v>330</x:v>
      </x:c>
      <x:c r="H426" s="25" t="n">
        <x:v>287</x:v>
      </x:c>
      <x:c r="I426" s="25" t="n">
        <x:v>180</x:v>
      </x:c>
      <x:c r="J426" s="25" t="n">
        <x:f>F426+H426</x:f>
        <x:v>1216</x:v>
      </x:c>
      <x:c r="K426" s="25" t="n">
        <x:f>G426+I426</x:f>
        <x:v>510</x:v>
      </x:c>
      <x:c r="L426" s="25" t="n">
        <x:v>20</x:v>
      </x:c>
      <x:c r="M426" s="25" t="n">
        <x:v>885</x:v>
      </x:c>
      <x:c r="N426" s="25" t="n">
        <x:v>1500</x:v>
      </x:c>
      <x:c r="O426" s="25" t="n">
        <x:v>430</x:v>
      </x:c>
      <x:c r="P426" s="25" t="n">
        <x:f>L426+N426</x:f>
        <x:v>1520</x:v>
      </x:c>
      <x:c r="Q426" s="25" t="n">
        <x:f>M426+O426</x:f>
        <x:v>1315</x:v>
      </x:c>
      <x:c r="R426" s="25" t="n">
        <x:f>MAX(0,MIN(J426,P426)-MAX(F426,L426))</x:f>
        <x:v>287</x:v>
      </x:c>
      <x:c r="S426" s="25" t="n">
        <x:f>MAX(0,MIN(K426,Q426)-MAX(G426,M426))</x:f>
        <x:v>0</x:v>
      </x:c>
      <x:c r="T426" s="25" t="n">
        <x:f>R426*S426</x:f>
        <x:v>0</x:v>
      </x:c>
      <x:c r="U426" s="24" t="str">
        <x:f>IF(T426&gt;0,"ERREUR chevauchement","OK aucun chevauchement")</x:f>
        <x:v>OK aucun chevauchement</x:v>
      </x:c>
      <x:c r="V426" s="24" t="str">
        <x:v>OK aucun chevauchement</x:v>
      </x:c>
      <x:c r="W426" s="24" t="str">
        <x:v>Si ERREUR : déplacer/redimensionner l’objet B ou créer un bookmark/masquage</x:v>
      </x:c>
    </x:row>
    <x:row r="427">
      <x:c r="A427" s="24" t="str">
        <x:v>Alertes</x:v>
      </x:c>
      <x:c r="B427" s="24" t="str">
        <x:v>G03_KPI_Row</x:v>
      </x:c>
      <x:c r="C427" s="24" t="str">
        <x:v>KPI_Card_05</x:v>
      </x:c>
      <x:c r="D427" s="24" t="str">
        <x:v>G04_Alertes</x:v>
      </x:c>
      <x:c r="E427" s="24" t="str">
        <x:v>Bloc_Niveaux_Alerte</x:v>
      </x:c>
      <x:c r="F427" s="25" t="n">
        <x:v>1232</x:v>
      </x:c>
      <x:c r="G427" s="25" t="n">
        <x:v>330</x:v>
      </x:c>
      <x:c r="H427" s="25" t="n">
        <x:v>287</x:v>
      </x:c>
      <x:c r="I427" s="25" t="n">
        <x:v>180</x:v>
      </x:c>
      <x:c r="J427" s="25" t="n">
        <x:f>F427+H427</x:f>
        <x:v>1519</x:v>
      </x:c>
      <x:c r="K427" s="25" t="n">
        <x:f>G427+I427</x:f>
        <x:v>510</x:v>
      </x:c>
      <x:c r="L427" s="25" t="n">
        <x:v>20</x:v>
      </x:c>
      <x:c r="M427" s="25" t="n">
        <x:v>535</x:v>
      </x:c>
      <x:c r="N427" s="25" t="n">
        <x:v>742</x:v>
      </x:c>
      <x:c r="O427" s="25" t="n">
        <x:v>330</x:v>
      </x:c>
      <x:c r="P427" s="25" t="n">
        <x:f>L427+N427</x:f>
        <x:v>762</x:v>
      </x:c>
      <x:c r="Q427" s="25" t="n">
        <x:f>M427+O427</x:f>
        <x:v>865</x:v>
      </x:c>
      <x:c r="R427" s="25" t="n">
        <x:f>MAX(0,MIN(J427,P427)-MAX(F427,L427))</x:f>
        <x:v>0</x:v>
      </x:c>
      <x:c r="S427" s="25" t="n">
        <x:f>MAX(0,MIN(K427,Q427)-MAX(G427,M427))</x:f>
        <x:v>0</x:v>
      </x:c>
      <x:c r="T427" s="25" t="n">
        <x:f>R427*S427</x:f>
        <x:v>0</x:v>
      </x:c>
      <x:c r="U427" s="24" t="str">
        <x:f>IF(T427&gt;0,"ERREUR chevauchement","OK aucun chevauchement")</x:f>
        <x:v>OK aucun chevauchement</x:v>
      </x:c>
      <x:c r="V427" s="24" t="str">
        <x:v>OK aucun chevauchement</x:v>
      </x:c>
      <x:c r="W427" s="24" t="str">
        <x:v>Si ERREUR : déplacer/redimensionner l’objet B ou créer un bookmark/masquage</x:v>
      </x:c>
    </x:row>
    <x:row r="428">
      <x:c r="A428" s="24" t="str">
        <x:v>Alertes</x:v>
      </x:c>
      <x:c r="B428" s="24" t="str">
        <x:v>G03_KPI_Row</x:v>
      </x:c>
      <x:c r="C428" s="24" t="str">
        <x:v>KPI_Card_05</x:v>
      </x:c>
      <x:c r="D428" s="24" t="str">
        <x:v>G04_Alertes</x:v>
      </x:c>
      <x:c r="E428" s="24" t="str">
        <x:v>Bloc_Recommandation</x:v>
      </x:c>
      <x:c r="F428" s="25" t="n">
        <x:v>1232</x:v>
      </x:c>
      <x:c r="G428" s="25" t="n">
        <x:v>330</x:v>
      </x:c>
      <x:c r="H428" s="25" t="n">
        <x:v>287</x:v>
      </x:c>
      <x:c r="I428" s="25" t="n">
        <x:v>180</x:v>
      </x:c>
      <x:c r="J428" s="25" t="n">
        <x:f>F428+H428</x:f>
        <x:v>1519</x:v>
      </x:c>
      <x:c r="K428" s="25" t="n">
        <x:f>G428+I428</x:f>
        <x:v>510</x:v>
      </x:c>
      <x:c r="L428" s="25" t="n">
        <x:v>778</x:v>
      </x:c>
      <x:c r="M428" s="25" t="n">
        <x:v>535</x:v>
      </x:c>
      <x:c r="N428" s="25" t="n">
        <x:v>742</x:v>
      </x:c>
      <x:c r="O428" s="25" t="n">
        <x:v>330</x:v>
      </x:c>
      <x:c r="P428" s="25" t="n">
        <x:f>L428+N428</x:f>
        <x:v>1520</x:v>
      </x:c>
      <x:c r="Q428" s="25" t="n">
        <x:f>M428+O428</x:f>
        <x:v>865</x:v>
      </x:c>
      <x:c r="R428" s="25" t="n">
        <x:f>MAX(0,MIN(J428,P428)-MAX(F428,L428))</x:f>
        <x:v>287</x:v>
      </x:c>
      <x:c r="S428" s="25" t="n">
        <x:f>MAX(0,MIN(K428,Q428)-MAX(G428,M428))</x:f>
        <x:v>0</x:v>
      </x:c>
      <x:c r="T428" s="25" t="n">
        <x:f>R428*S428</x:f>
        <x:v>0</x:v>
      </x:c>
      <x:c r="U428" s="24" t="str">
        <x:f>IF(T428&gt;0,"ERREUR chevauchement","OK aucun chevauchement")</x:f>
        <x:v>OK aucun chevauchement</x:v>
      </x:c>
      <x:c r="V428" s="24" t="str">
        <x:v>OK aucun chevauchement</x:v>
      </x:c>
      <x:c r="W428" s="24" t="str">
        <x:v>Si ERREUR : déplacer/redimensionner l’objet B ou créer un bookmark/masquage</x:v>
      </x:c>
    </x:row>
    <x:row r="429">
      <x:c r="A429" s="24" t="str">
        <x:v>Alertes</x:v>
      </x:c>
      <x:c r="B429" s="24" t="str">
        <x:v>G03_KPI_Row</x:v>
      </x:c>
      <x:c r="C429" s="24" t="str">
        <x:v>KPI_Card_05</x:v>
      </x:c>
      <x:c r="D429" s="24" t="str">
        <x:v>G05_Table</x:v>
      </x:c>
      <x:c r="E429" s="24" t="str">
        <x:v>Table_Detail_Alertes</x:v>
      </x:c>
      <x:c r="F429" s="25" t="n">
        <x:v>1232</x:v>
      </x:c>
      <x:c r="G429" s="25" t="n">
        <x:v>330</x:v>
      </x:c>
      <x:c r="H429" s="25" t="n">
        <x:v>287</x:v>
      </x:c>
      <x:c r="I429" s="25" t="n">
        <x:v>180</x:v>
      </x:c>
      <x:c r="J429" s="25" t="n">
        <x:f>F429+H429</x:f>
        <x:v>1519</x:v>
      </x:c>
      <x:c r="K429" s="25" t="n">
        <x:f>G429+I429</x:f>
        <x:v>510</x:v>
      </x:c>
      <x:c r="L429" s="25" t="n">
        <x:v>20</x:v>
      </x:c>
      <x:c r="M429" s="25" t="n">
        <x:v>885</x:v>
      </x:c>
      <x:c r="N429" s="25" t="n">
        <x:v>1500</x:v>
      </x:c>
      <x:c r="O429" s="25" t="n">
        <x:v>430</x:v>
      </x:c>
      <x:c r="P429" s="25" t="n">
        <x:f>L429+N429</x:f>
        <x:v>1520</x:v>
      </x:c>
      <x:c r="Q429" s="25" t="n">
        <x:f>M429+O429</x:f>
        <x:v>1315</x:v>
      </x:c>
      <x:c r="R429" s="25" t="n">
        <x:f>MAX(0,MIN(J429,P429)-MAX(F429,L429))</x:f>
        <x:v>287</x:v>
      </x:c>
      <x:c r="S429" s="25" t="n">
        <x:f>MAX(0,MIN(K429,Q429)-MAX(G429,M429))</x:f>
        <x:v>0</x:v>
      </x:c>
      <x:c r="T429" s="25" t="n">
        <x:f>R429*S429</x:f>
        <x:v>0</x:v>
      </x:c>
      <x:c r="U429" s="24" t="str">
        <x:f>IF(T429&gt;0,"ERREUR chevauchement","OK aucun chevauchement")</x:f>
        <x:v>OK aucun chevauchement</x:v>
      </x:c>
      <x:c r="V429" s="24" t="str">
        <x:v>OK aucun chevauchement</x:v>
      </x:c>
      <x:c r="W429" s="24" t="str">
        <x:v>Si ERREUR : déplacer/redimensionner l’objet B ou créer un bookmark/masquage</x:v>
      </x:c>
    </x:row>
    <x:row r="430">
      <x:c r="A430" s="24" t="str">
        <x:v>Glossaire</x:v>
      </x:c>
      <x:c r="B430" s="24" t="str">
        <x:v>G00_Header_Global</x:v>
      </x:c>
      <x:c r="C430" s="24" t="str">
        <x:v>Header_Global</x:v>
      </x:c>
      <x:c r="D430" s="24" t="str">
        <x:v>G01_Title_Zone</x:v>
      </x:c>
      <x:c r="E430" s="24" t="str">
        <x:v>Title_Zone</x:v>
      </x:c>
      <x:c r="F430" s="25" t="n">
        <x:v>0</x:v>
      </x:c>
      <x:c r="G430" s="25" t="n">
        <x:v>0</x:v>
      </x:c>
      <x:c r="H430" s="25" t="n">
        <x:v>1540</x:v>
      </x:c>
      <x:c r="I430" s="25" t="n">
        <x:v>88</x:v>
      </x:c>
      <x:c r="J430" s="25" t="n">
        <x:f>F430+H430</x:f>
        <x:v>1540</x:v>
      </x:c>
      <x:c r="K430" s="25" t="n">
        <x:f>G430+I430</x:f>
        <x:v>88</x:v>
      </x:c>
      <x:c r="L430" s="25" t="n">
        <x:v>20</x:v>
      </x:c>
      <x:c r="M430" s="25" t="n">
        <x:v>110</x:v>
      </x:c>
      <x:c r="N430" s="25" t="n">
        <x:v>1500</x:v>
      </x:c>
      <x:c r="O430" s="25" t="n">
        <x:v>132</x:v>
      </x:c>
      <x:c r="P430" s="25" t="n">
        <x:f>L430+N430</x:f>
        <x:v>1520</x:v>
      </x:c>
      <x:c r="Q430" s="25" t="n">
        <x:f>M430+O430</x:f>
        <x:v>242</x:v>
      </x:c>
      <x:c r="R430" s="25" t="n">
        <x:f>MAX(0,MIN(J430,P430)-MAX(F430,L430))</x:f>
        <x:v>1500</x:v>
      </x:c>
      <x:c r="S430" s="25" t="n">
        <x:f>MAX(0,MIN(K430,Q430)-MAX(G430,M430))</x:f>
        <x:v>0</x:v>
      </x:c>
      <x:c r="T430" s="25" t="n">
        <x:f>R430*S430</x:f>
        <x:v>0</x:v>
      </x:c>
      <x:c r="U430" s="24" t="str">
        <x:f>IF(T430&gt;0,"ERREUR chevauchement","OK aucun chevauchement")</x:f>
        <x:v>OK aucun chevauchement</x:v>
      </x:c>
      <x:c r="V430" s="24" t="str">
        <x:v>OK aucun chevauchement</x:v>
      </x:c>
      <x:c r="W430" s="24" t="str">
        <x:v>Si ERREUR : déplacer/redimensionner l’objet B ou créer un bookmark/masquage</x:v>
      </x:c>
    </x:row>
    <x:row r="431">
      <x:c r="A431" s="24" t="str">
        <x:v>Glossaire</x:v>
      </x:c>
      <x:c r="B431" s="24" t="str">
        <x:v>G00_Header_Global</x:v>
      </x:c>
      <x:c r="C431" s="24" t="str">
        <x:v>Header_Global</x:v>
      </x:c>
      <x:c r="D431" s="24" t="str">
        <x:v>G02_Toolbar</x:v>
      </x:c>
      <x:c r="E431" s="24" t="str">
        <x:v>Toolbar_Slicers_FieldParams</x:v>
      </x:c>
      <x:c r="F431" s="25" t="n">
        <x:v>0</x:v>
      </x:c>
      <x:c r="G431" s="25" t="n">
        <x:v>0</x:v>
      </x:c>
      <x:c r="H431" s="25" t="n">
        <x:v>1540</x:v>
      </x:c>
      <x:c r="I431" s="25" t="n">
        <x:v>88</x:v>
      </x:c>
      <x:c r="J431" s="25" t="n">
        <x:f>F431+H431</x:f>
        <x:v>1540</x:v>
      </x:c>
      <x:c r="K431" s="25" t="n">
        <x:f>G431+I431</x:f>
        <x:v>88</x:v>
      </x:c>
      <x:c r="L431" s="25" t="n">
        <x:v>20</x:v>
      </x:c>
      <x:c r="M431" s="25" t="n">
        <x:v>260</x:v>
      </x:c>
      <x:c r="N431" s="25" t="n">
        <x:v>1500</x:v>
      </x:c>
      <x:c r="O431" s="25" t="n">
        <x:v>56</x:v>
      </x:c>
      <x:c r="P431" s="25" t="n">
        <x:f>L431+N431</x:f>
        <x:v>1520</x:v>
      </x:c>
      <x:c r="Q431" s="25" t="n">
        <x:f>M431+O431</x:f>
        <x:v>316</x:v>
      </x:c>
      <x:c r="R431" s="25" t="n">
        <x:f>MAX(0,MIN(J431,P431)-MAX(F431,L431))</x:f>
        <x:v>1500</x:v>
      </x:c>
      <x:c r="S431" s="25" t="n">
        <x:f>MAX(0,MIN(K431,Q431)-MAX(G431,M431))</x:f>
        <x:v>0</x:v>
      </x:c>
      <x:c r="T431" s="25" t="n">
        <x:f>R431*S431</x:f>
        <x:v>0</x:v>
      </x:c>
      <x:c r="U431" s="24" t="str">
        <x:f>IF(T431&gt;0,"ERREUR chevauchement","OK aucun chevauchement")</x:f>
        <x:v>OK aucun chevauchement</x:v>
      </x:c>
      <x:c r="V431" s="24" t="str">
        <x:v>OK aucun chevauchement</x:v>
      </x:c>
      <x:c r="W431" s="24" t="str">
        <x:v>Si ERREUR : déplacer/redimensionner l’objet B ou créer un bookmark/masquage</x:v>
      </x:c>
    </x:row>
    <x:row r="432">
      <x:c r="A432" s="24" t="str">
        <x:v>Glossaire</x:v>
      </x:c>
      <x:c r="B432" s="24" t="str">
        <x:v>G00_Header_Global</x:v>
      </x:c>
      <x:c r="C432" s="24" t="str">
        <x:v>Header_Global</x:v>
      </x:c>
      <x:c r="D432" s="24" t="str">
        <x:v>G03_KPI_Row</x:v>
      </x:c>
      <x:c r="E432" s="24" t="str">
        <x:v>KPI_Card_01</x:v>
      </x:c>
      <x:c r="F432" s="25" t="n">
        <x:v>0</x:v>
      </x:c>
      <x:c r="G432" s="25" t="n">
        <x:v>0</x:v>
      </x:c>
      <x:c r="H432" s="25" t="n">
        <x:v>1540</x:v>
      </x:c>
      <x:c r="I432" s="25" t="n">
        <x:v>88</x:v>
      </x:c>
      <x:c r="J432" s="25" t="n">
        <x:f>F432+H432</x:f>
        <x:v>1540</x:v>
      </x:c>
      <x:c r="K432" s="25" t="n">
        <x:f>G432+I432</x:f>
        <x:v>88</x:v>
      </x:c>
      <x:c r="L432" s="25" t="n">
        <x:v>20</x:v>
      </x:c>
      <x:c r="M432" s="25" t="n">
        <x:v>330</x:v>
      </x:c>
      <x:c r="N432" s="25" t="n">
        <x:v>287</x:v>
      </x:c>
      <x:c r="O432" s="25" t="n">
        <x:v>180</x:v>
      </x:c>
      <x:c r="P432" s="25" t="n">
        <x:f>L432+N432</x:f>
        <x:v>307</x:v>
      </x:c>
      <x:c r="Q432" s="25" t="n">
        <x:f>M432+O432</x:f>
        <x:v>510</x:v>
      </x:c>
      <x:c r="R432" s="25" t="n">
        <x:f>MAX(0,MIN(J432,P432)-MAX(F432,L432))</x:f>
        <x:v>287</x:v>
      </x:c>
      <x:c r="S432" s="25" t="n">
        <x:f>MAX(0,MIN(K432,Q432)-MAX(G432,M432))</x:f>
        <x:v>0</x:v>
      </x:c>
      <x:c r="T432" s="25" t="n">
        <x:f>R432*S432</x:f>
        <x:v>0</x:v>
      </x:c>
      <x:c r="U432" s="24" t="str">
        <x:f>IF(T432&gt;0,"ERREUR chevauchement","OK aucun chevauchement")</x:f>
        <x:v>OK aucun chevauchement</x:v>
      </x:c>
      <x:c r="V432" s="24" t="str">
        <x:v>OK aucun chevauchement</x:v>
      </x:c>
      <x:c r="W432" s="24" t="str">
        <x:v>Si ERREUR : déplacer/redimensionner l’objet B ou créer un bookmark/masquage</x:v>
      </x:c>
    </x:row>
    <x:row r="433">
      <x:c r="A433" s="24" t="str">
        <x:v>Glossaire</x:v>
      </x:c>
      <x:c r="B433" s="24" t="str">
        <x:v>G00_Header_Global</x:v>
      </x:c>
      <x:c r="C433" s="24" t="str">
        <x:v>Header_Global</x:v>
      </x:c>
      <x:c r="D433" s="24" t="str">
        <x:v>G03_KPI_Row</x:v>
      </x:c>
      <x:c r="E433" s="24" t="str">
        <x:v>KPI_Card_02</x:v>
      </x:c>
      <x:c r="F433" s="25" t="n">
        <x:v>0</x:v>
      </x:c>
      <x:c r="G433" s="25" t="n">
        <x:v>0</x:v>
      </x:c>
      <x:c r="H433" s="25" t="n">
        <x:v>1540</x:v>
      </x:c>
      <x:c r="I433" s="25" t="n">
        <x:v>88</x:v>
      </x:c>
      <x:c r="J433" s="25" t="n">
        <x:f>F433+H433</x:f>
        <x:v>1540</x:v>
      </x:c>
      <x:c r="K433" s="25" t="n">
        <x:f>G433+I433</x:f>
        <x:v>88</x:v>
      </x:c>
      <x:c r="L433" s="25" t="n">
        <x:v>323</x:v>
      </x:c>
      <x:c r="M433" s="25" t="n">
        <x:v>330</x:v>
      </x:c>
      <x:c r="N433" s="25" t="n">
        <x:v>287</x:v>
      </x:c>
      <x:c r="O433" s="25" t="n">
        <x:v>180</x:v>
      </x:c>
      <x:c r="P433" s="25" t="n">
        <x:f>L433+N433</x:f>
        <x:v>610</x:v>
      </x:c>
      <x:c r="Q433" s="25" t="n">
        <x:f>M433+O433</x:f>
        <x:v>510</x:v>
      </x:c>
      <x:c r="R433" s="25" t="n">
        <x:f>MAX(0,MIN(J433,P433)-MAX(F433,L433))</x:f>
        <x:v>287</x:v>
      </x:c>
      <x:c r="S433" s="25" t="n">
        <x:f>MAX(0,MIN(K433,Q433)-MAX(G433,M433))</x:f>
        <x:v>0</x:v>
      </x:c>
      <x:c r="T433" s="25" t="n">
        <x:f>R433*S433</x:f>
        <x:v>0</x:v>
      </x:c>
      <x:c r="U433" s="24" t="str">
        <x:f>IF(T433&gt;0,"ERREUR chevauchement","OK aucun chevauchement")</x:f>
        <x:v>OK aucun chevauchement</x:v>
      </x:c>
      <x:c r="V433" s="24" t="str">
        <x:v>OK aucun chevauchement</x:v>
      </x:c>
      <x:c r="W433" s="24" t="str">
        <x:v>Si ERREUR : déplacer/redimensionner l’objet B ou créer un bookmark/masquage</x:v>
      </x:c>
    </x:row>
    <x:row r="434">
      <x:c r="A434" s="24" t="str">
        <x:v>Glossaire</x:v>
      </x:c>
      <x:c r="B434" s="24" t="str">
        <x:v>G00_Header_Global</x:v>
      </x:c>
      <x:c r="C434" s="24" t="str">
        <x:v>Header_Global</x:v>
      </x:c>
      <x:c r="D434" s="24" t="str">
        <x:v>G03_KPI_Row</x:v>
      </x:c>
      <x:c r="E434" s="24" t="str">
        <x:v>KPI_Card_03</x:v>
      </x:c>
      <x:c r="F434" s="25" t="n">
        <x:v>0</x:v>
      </x:c>
      <x:c r="G434" s="25" t="n">
        <x:v>0</x:v>
      </x:c>
      <x:c r="H434" s="25" t="n">
        <x:v>1540</x:v>
      </x:c>
      <x:c r="I434" s="25" t="n">
        <x:v>88</x:v>
      </x:c>
      <x:c r="J434" s="25" t="n">
        <x:f>F434+H434</x:f>
        <x:v>1540</x:v>
      </x:c>
      <x:c r="K434" s="25" t="n">
        <x:f>G434+I434</x:f>
        <x:v>88</x:v>
      </x:c>
      <x:c r="L434" s="25" t="n">
        <x:v>626</x:v>
      </x:c>
      <x:c r="M434" s="25" t="n">
        <x:v>330</x:v>
      </x:c>
      <x:c r="N434" s="25" t="n">
        <x:v>287</x:v>
      </x:c>
      <x:c r="O434" s="25" t="n">
        <x:v>180</x:v>
      </x:c>
      <x:c r="P434" s="25" t="n">
        <x:f>L434+N434</x:f>
        <x:v>913</x:v>
      </x:c>
      <x:c r="Q434" s="25" t="n">
        <x:f>M434+O434</x:f>
        <x:v>510</x:v>
      </x:c>
      <x:c r="R434" s="25" t="n">
        <x:f>MAX(0,MIN(J434,P434)-MAX(F434,L434))</x:f>
        <x:v>287</x:v>
      </x:c>
      <x:c r="S434" s="25" t="n">
        <x:f>MAX(0,MIN(K434,Q434)-MAX(G434,M434))</x:f>
        <x:v>0</x:v>
      </x:c>
      <x:c r="T434" s="25" t="n">
        <x:f>R434*S434</x:f>
        <x:v>0</x:v>
      </x:c>
      <x:c r="U434" s="24" t="str">
        <x:f>IF(T434&gt;0,"ERREUR chevauchement","OK aucun chevauchement")</x:f>
        <x:v>OK aucun chevauchement</x:v>
      </x:c>
      <x:c r="V434" s="24" t="str">
        <x:v>OK aucun chevauchement</x:v>
      </x:c>
      <x:c r="W434" s="24" t="str">
        <x:v>Si ERREUR : déplacer/redimensionner l’objet B ou créer un bookmark/masquage</x:v>
      </x:c>
    </x:row>
    <x:row r="435">
      <x:c r="A435" s="24" t="str">
        <x:v>Glossaire</x:v>
      </x:c>
      <x:c r="B435" s="24" t="str">
        <x:v>G00_Header_Global</x:v>
      </x:c>
      <x:c r="C435" s="24" t="str">
        <x:v>Header_Global</x:v>
      </x:c>
      <x:c r="D435" s="24" t="str">
        <x:v>G03_KPI_Row</x:v>
      </x:c>
      <x:c r="E435" s="24" t="str">
        <x:v>KPI_Card_04</x:v>
      </x:c>
      <x:c r="F435" s="25" t="n">
        <x:v>0</x:v>
      </x:c>
      <x:c r="G435" s="25" t="n">
        <x:v>0</x:v>
      </x:c>
      <x:c r="H435" s="25" t="n">
        <x:v>1540</x:v>
      </x:c>
      <x:c r="I435" s="25" t="n">
        <x:v>88</x:v>
      </x:c>
      <x:c r="J435" s="25" t="n">
        <x:f>F435+H435</x:f>
        <x:v>1540</x:v>
      </x:c>
      <x:c r="K435" s="25" t="n">
        <x:f>G435+I435</x:f>
        <x:v>88</x:v>
      </x:c>
      <x:c r="L435" s="25" t="n">
        <x:v>929</x:v>
      </x:c>
      <x:c r="M435" s="25" t="n">
        <x:v>330</x:v>
      </x:c>
      <x:c r="N435" s="25" t="n">
        <x:v>287</x:v>
      </x:c>
      <x:c r="O435" s="25" t="n">
        <x:v>180</x:v>
      </x:c>
      <x:c r="P435" s="25" t="n">
        <x:f>L435+N435</x:f>
        <x:v>1216</x:v>
      </x:c>
      <x:c r="Q435" s="25" t="n">
        <x:f>M435+O435</x:f>
        <x:v>510</x:v>
      </x:c>
      <x:c r="R435" s="25" t="n">
        <x:f>MAX(0,MIN(J435,P435)-MAX(F435,L435))</x:f>
        <x:v>287</x:v>
      </x:c>
      <x:c r="S435" s="25" t="n">
        <x:f>MAX(0,MIN(K435,Q435)-MAX(G435,M435))</x:f>
        <x:v>0</x:v>
      </x:c>
      <x:c r="T435" s="25" t="n">
        <x:f>R435*S435</x:f>
        <x:v>0</x:v>
      </x:c>
      <x:c r="U435" s="24" t="str">
        <x:f>IF(T435&gt;0,"ERREUR chevauchement","OK aucun chevauchement")</x:f>
        <x:v>OK aucun chevauchement</x:v>
      </x:c>
      <x:c r="V435" s="24" t="str">
        <x:v>OK aucun chevauchement</x:v>
      </x:c>
      <x:c r="W435" s="24" t="str">
        <x:v>Si ERREUR : déplacer/redimensionner l’objet B ou créer un bookmark/masquage</x:v>
      </x:c>
    </x:row>
    <x:row r="436">
      <x:c r="A436" s="24" t="str">
        <x:v>Glossaire</x:v>
      </x:c>
      <x:c r="B436" s="24" t="str">
        <x:v>G00_Header_Global</x:v>
      </x:c>
      <x:c r="C436" s="24" t="str">
        <x:v>Header_Global</x:v>
      </x:c>
      <x:c r="D436" s="24" t="str">
        <x:v>G03_KPI_Row</x:v>
      </x:c>
      <x:c r="E436" s="24" t="str">
        <x:v>KPI_Card_05</x:v>
      </x:c>
      <x:c r="F436" s="25" t="n">
        <x:v>0</x:v>
      </x:c>
      <x:c r="G436" s="25" t="n">
        <x:v>0</x:v>
      </x:c>
      <x:c r="H436" s="25" t="n">
        <x:v>1540</x:v>
      </x:c>
      <x:c r="I436" s="25" t="n">
        <x:v>88</x:v>
      </x:c>
      <x:c r="J436" s="25" t="n">
        <x:f>F436+H436</x:f>
        <x:v>1540</x:v>
      </x:c>
      <x:c r="K436" s="25" t="n">
        <x:f>G436+I436</x:f>
        <x:v>88</x:v>
      </x:c>
      <x:c r="L436" s="25" t="n">
        <x:v>1232</x:v>
      </x:c>
      <x:c r="M436" s="25" t="n">
        <x:v>330</x:v>
      </x:c>
      <x:c r="N436" s="25" t="n">
        <x:v>287</x:v>
      </x:c>
      <x:c r="O436" s="25" t="n">
        <x:v>180</x:v>
      </x:c>
      <x:c r="P436" s="25" t="n">
        <x:f>L436+N436</x:f>
        <x:v>1519</x:v>
      </x:c>
      <x:c r="Q436" s="25" t="n">
        <x:f>M436+O436</x:f>
        <x:v>510</x:v>
      </x:c>
      <x:c r="R436" s="25" t="n">
        <x:f>MAX(0,MIN(J436,P436)-MAX(F436,L436))</x:f>
        <x:v>287</x:v>
      </x:c>
      <x:c r="S436" s="25" t="n">
        <x:f>MAX(0,MIN(K436,Q436)-MAX(G436,M436))</x:f>
        <x:v>0</x:v>
      </x:c>
      <x:c r="T436" s="25" t="n">
        <x:f>R436*S436</x:f>
        <x:v>0</x:v>
      </x:c>
      <x:c r="U436" s="24" t="str">
        <x:f>IF(T436&gt;0,"ERREUR chevauchement","OK aucun chevauchement")</x:f>
        <x:v>OK aucun chevauchement</x:v>
      </x:c>
      <x:c r="V436" s="24" t="str">
        <x:v>OK aucun chevauchement</x:v>
      </x:c>
      <x:c r="W436" s="24" t="str">
        <x:v>Si ERREUR : déplacer/redimensionner l’objet B ou créer un bookmark/masquage</x:v>
      </x:c>
    </x:row>
    <x:row r="437">
      <x:c r="A437" s="24" t="str">
        <x:v>Glossaire</x:v>
      </x:c>
      <x:c r="B437" s="24" t="str">
        <x:v>G00_Header_Global</x:v>
      </x:c>
      <x:c r="C437" s="24" t="str">
        <x:v>Header_Global</x:v>
      </x:c>
      <x:c r="D437" s="24" t="str">
        <x:v>G02_Glossaire_Table</x:v>
      </x:c>
      <x:c r="E437" s="24" t="str">
        <x:v>Table_Glossaire</x:v>
      </x:c>
      <x:c r="F437" s="25" t="n">
        <x:v>0</x:v>
      </x:c>
      <x:c r="G437" s="25" t="n">
        <x:v>0</x:v>
      </x:c>
      <x:c r="H437" s="25" t="n">
        <x:v>1540</x:v>
      </x:c>
      <x:c r="I437" s="25" t="n">
        <x:v>88</x:v>
      </x:c>
      <x:c r="J437" s="25" t="n">
        <x:f>F437+H437</x:f>
        <x:v>1540</x:v>
      </x:c>
      <x:c r="K437" s="25" t="n">
        <x:f>G437+I437</x:f>
        <x:v>88</x:v>
      </x:c>
      <x:c r="L437" s="25" t="n">
        <x:v>20</x:v>
      </x:c>
      <x:c r="M437" s="25" t="n">
        <x:v>260</x:v>
      </x:c>
      <x:c r="N437" s="25" t="n">
        <x:v>1500</x:v>
      </x:c>
      <x:c r="O437" s="25" t="n">
        <x:v>750</x:v>
      </x:c>
      <x:c r="P437" s="25" t="n">
        <x:f>L437+N437</x:f>
        <x:v>1520</x:v>
      </x:c>
      <x:c r="Q437" s="25" t="n">
        <x:f>M437+O437</x:f>
        <x:v>1010</x:v>
      </x:c>
      <x:c r="R437" s="25" t="n">
        <x:f>MAX(0,MIN(J437,P437)-MAX(F437,L437))</x:f>
        <x:v>1500</x:v>
      </x:c>
      <x:c r="S437" s="25" t="n">
        <x:f>MAX(0,MIN(K437,Q437)-MAX(G437,M437))</x:f>
        <x:v>0</x:v>
      </x:c>
      <x:c r="T437" s="25" t="n">
        <x:f>R437*S437</x:f>
        <x:v>0</x:v>
      </x:c>
      <x:c r="U437" s="24" t="str">
        <x:f>IF(T437&gt;0,"ERREUR chevauchement","OK aucun chevauchement")</x:f>
        <x:v>OK aucun chevauchement</x:v>
      </x:c>
      <x:c r="V437" s="24" t="str">
        <x:v>OK aucun chevauchement</x:v>
      </x:c>
      <x:c r="W437" s="24" t="str">
        <x:v>Si ERREUR : déplacer/redimensionner l’objet B ou créer un bookmark/masquage</x:v>
      </x:c>
    </x:row>
    <x:row r="438">
      <x:c r="A438" s="24" t="str">
        <x:v>Glossaire</x:v>
      </x:c>
      <x:c r="B438" s="24" t="str">
        <x:v>G01_Title_Zone</x:v>
      </x:c>
      <x:c r="C438" s="24" t="str">
        <x:v>Title_Zone</x:v>
      </x:c>
      <x:c r="D438" s="24" t="str">
        <x:v>G02_Toolbar</x:v>
      </x:c>
      <x:c r="E438" s="24" t="str">
        <x:v>Toolbar_Slicers_FieldParams</x:v>
      </x:c>
      <x:c r="F438" s="25" t="n">
        <x:v>20</x:v>
      </x:c>
      <x:c r="G438" s="25" t="n">
        <x:v>110</x:v>
      </x:c>
      <x:c r="H438" s="25" t="n">
        <x:v>1500</x:v>
      </x:c>
      <x:c r="I438" s="25" t="n">
        <x:v>132</x:v>
      </x:c>
      <x:c r="J438" s="25" t="n">
        <x:f>F438+H438</x:f>
        <x:v>1520</x:v>
      </x:c>
      <x:c r="K438" s="25" t="n">
        <x:f>G438+I438</x:f>
        <x:v>242</x:v>
      </x:c>
      <x:c r="L438" s="25" t="n">
        <x:v>20</x:v>
      </x:c>
      <x:c r="M438" s="25" t="n">
        <x:v>260</x:v>
      </x:c>
      <x:c r="N438" s="25" t="n">
        <x:v>1500</x:v>
      </x:c>
      <x:c r="O438" s="25" t="n">
        <x:v>56</x:v>
      </x:c>
      <x:c r="P438" s="25" t="n">
        <x:f>L438+N438</x:f>
        <x:v>1520</x:v>
      </x:c>
      <x:c r="Q438" s="25" t="n">
        <x:f>M438+O438</x:f>
        <x:v>316</x:v>
      </x:c>
      <x:c r="R438" s="25" t="n">
        <x:f>MAX(0,MIN(J438,P438)-MAX(F438,L438))</x:f>
        <x:v>1500</x:v>
      </x:c>
      <x:c r="S438" s="25" t="n">
        <x:f>MAX(0,MIN(K438,Q438)-MAX(G438,M438))</x:f>
        <x:v>0</x:v>
      </x:c>
      <x:c r="T438" s="25" t="n">
        <x:f>R438*S438</x:f>
        <x:v>0</x:v>
      </x:c>
      <x:c r="U438" s="24" t="str">
        <x:f>IF(T438&gt;0,"ERREUR chevauchement","OK aucun chevauchement")</x:f>
        <x:v>OK aucun chevauchement</x:v>
      </x:c>
      <x:c r="V438" s="24" t="str">
        <x:v>OK aucun chevauchement</x:v>
      </x:c>
      <x:c r="W438" s="24" t="str">
        <x:v>Si ERREUR : déplacer/redimensionner l’objet B ou créer un bookmark/masquage</x:v>
      </x:c>
    </x:row>
    <x:row r="439">
      <x:c r="A439" s="24" t="str">
        <x:v>Glossaire</x:v>
      </x:c>
      <x:c r="B439" s="24" t="str">
        <x:v>G01_Title_Zone</x:v>
      </x:c>
      <x:c r="C439" s="24" t="str">
        <x:v>Title_Zone</x:v>
      </x:c>
      <x:c r="D439" s="24" t="str">
        <x:v>G03_KPI_Row</x:v>
      </x:c>
      <x:c r="E439" s="24" t="str">
        <x:v>KPI_Card_01</x:v>
      </x:c>
      <x:c r="F439" s="25" t="n">
        <x:v>20</x:v>
      </x:c>
      <x:c r="G439" s="25" t="n">
        <x:v>110</x:v>
      </x:c>
      <x:c r="H439" s="25" t="n">
        <x:v>1500</x:v>
      </x:c>
      <x:c r="I439" s="25" t="n">
        <x:v>132</x:v>
      </x:c>
      <x:c r="J439" s="25" t="n">
        <x:f>F439+H439</x:f>
        <x:v>1520</x:v>
      </x:c>
      <x:c r="K439" s="25" t="n">
        <x:f>G439+I439</x:f>
        <x:v>242</x:v>
      </x:c>
      <x:c r="L439" s="25" t="n">
        <x:v>20</x:v>
      </x:c>
      <x:c r="M439" s="25" t="n">
        <x:v>330</x:v>
      </x:c>
      <x:c r="N439" s="25" t="n">
        <x:v>287</x:v>
      </x:c>
      <x:c r="O439" s="25" t="n">
        <x:v>180</x:v>
      </x:c>
      <x:c r="P439" s="25" t="n">
        <x:f>L439+N439</x:f>
        <x:v>307</x:v>
      </x:c>
      <x:c r="Q439" s="25" t="n">
        <x:f>M439+O439</x:f>
        <x:v>510</x:v>
      </x:c>
      <x:c r="R439" s="25" t="n">
        <x:f>MAX(0,MIN(J439,P439)-MAX(F439,L439))</x:f>
        <x:v>287</x:v>
      </x:c>
      <x:c r="S439" s="25" t="n">
        <x:f>MAX(0,MIN(K439,Q439)-MAX(G439,M439))</x:f>
        <x:v>0</x:v>
      </x:c>
      <x:c r="T439" s="25" t="n">
        <x:f>R439*S439</x:f>
        <x:v>0</x:v>
      </x:c>
      <x:c r="U439" s="24" t="str">
        <x:f>IF(T439&gt;0,"ERREUR chevauchement","OK aucun chevauchement")</x:f>
        <x:v>OK aucun chevauchement</x:v>
      </x:c>
      <x:c r="V439" s="24" t="str">
        <x:v>OK aucun chevauchement</x:v>
      </x:c>
      <x:c r="W439" s="24" t="str">
        <x:v>Si ERREUR : déplacer/redimensionner l’objet B ou créer un bookmark/masquage</x:v>
      </x:c>
    </x:row>
    <x:row r="440">
      <x:c r="A440" s="24" t="str">
        <x:v>Glossaire</x:v>
      </x:c>
      <x:c r="B440" s="24" t="str">
        <x:v>G01_Title_Zone</x:v>
      </x:c>
      <x:c r="C440" s="24" t="str">
        <x:v>Title_Zone</x:v>
      </x:c>
      <x:c r="D440" s="24" t="str">
        <x:v>G03_KPI_Row</x:v>
      </x:c>
      <x:c r="E440" s="24" t="str">
        <x:v>KPI_Card_02</x:v>
      </x:c>
      <x:c r="F440" s="25" t="n">
        <x:v>20</x:v>
      </x:c>
      <x:c r="G440" s="25" t="n">
        <x:v>110</x:v>
      </x:c>
      <x:c r="H440" s="25" t="n">
        <x:v>1500</x:v>
      </x:c>
      <x:c r="I440" s="25" t="n">
        <x:v>132</x:v>
      </x:c>
      <x:c r="J440" s="25" t="n">
        <x:f>F440+H440</x:f>
        <x:v>1520</x:v>
      </x:c>
      <x:c r="K440" s="25" t="n">
        <x:f>G440+I440</x:f>
        <x:v>242</x:v>
      </x:c>
      <x:c r="L440" s="25" t="n">
        <x:v>323</x:v>
      </x:c>
      <x:c r="M440" s="25" t="n">
        <x:v>330</x:v>
      </x:c>
      <x:c r="N440" s="25" t="n">
        <x:v>287</x:v>
      </x:c>
      <x:c r="O440" s="25" t="n">
        <x:v>180</x:v>
      </x:c>
      <x:c r="P440" s="25" t="n">
        <x:f>L440+N440</x:f>
        <x:v>610</x:v>
      </x:c>
      <x:c r="Q440" s="25" t="n">
        <x:f>M440+O440</x:f>
        <x:v>510</x:v>
      </x:c>
      <x:c r="R440" s="25" t="n">
        <x:f>MAX(0,MIN(J440,P440)-MAX(F440,L440))</x:f>
        <x:v>287</x:v>
      </x:c>
      <x:c r="S440" s="25" t="n">
        <x:f>MAX(0,MIN(K440,Q440)-MAX(G440,M440))</x:f>
        <x:v>0</x:v>
      </x:c>
      <x:c r="T440" s="25" t="n">
        <x:f>R440*S440</x:f>
        <x:v>0</x:v>
      </x:c>
      <x:c r="U440" s="24" t="str">
        <x:f>IF(T440&gt;0,"ERREUR chevauchement","OK aucun chevauchement")</x:f>
        <x:v>OK aucun chevauchement</x:v>
      </x:c>
      <x:c r="V440" s="24" t="str">
        <x:v>OK aucun chevauchement</x:v>
      </x:c>
      <x:c r="W440" s="24" t="str">
        <x:v>Si ERREUR : déplacer/redimensionner l’objet B ou créer un bookmark/masquage</x:v>
      </x:c>
    </x:row>
    <x:row r="441">
      <x:c r="A441" s="24" t="str">
        <x:v>Glossaire</x:v>
      </x:c>
      <x:c r="B441" s="24" t="str">
        <x:v>G01_Title_Zone</x:v>
      </x:c>
      <x:c r="C441" s="24" t="str">
        <x:v>Title_Zone</x:v>
      </x:c>
      <x:c r="D441" s="24" t="str">
        <x:v>G03_KPI_Row</x:v>
      </x:c>
      <x:c r="E441" s="24" t="str">
        <x:v>KPI_Card_03</x:v>
      </x:c>
      <x:c r="F441" s="25" t="n">
        <x:v>20</x:v>
      </x:c>
      <x:c r="G441" s="25" t="n">
        <x:v>110</x:v>
      </x:c>
      <x:c r="H441" s="25" t="n">
        <x:v>1500</x:v>
      </x:c>
      <x:c r="I441" s="25" t="n">
        <x:v>132</x:v>
      </x:c>
      <x:c r="J441" s="25" t="n">
        <x:f>F441+H441</x:f>
        <x:v>1520</x:v>
      </x:c>
      <x:c r="K441" s="25" t="n">
        <x:f>G441+I441</x:f>
        <x:v>242</x:v>
      </x:c>
      <x:c r="L441" s="25" t="n">
        <x:v>626</x:v>
      </x:c>
      <x:c r="M441" s="25" t="n">
        <x:v>330</x:v>
      </x:c>
      <x:c r="N441" s="25" t="n">
        <x:v>287</x:v>
      </x:c>
      <x:c r="O441" s="25" t="n">
        <x:v>180</x:v>
      </x:c>
      <x:c r="P441" s="25" t="n">
        <x:f>L441+N441</x:f>
        <x:v>913</x:v>
      </x:c>
      <x:c r="Q441" s="25" t="n">
        <x:f>M441+O441</x:f>
        <x:v>510</x:v>
      </x:c>
      <x:c r="R441" s="25" t="n">
        <x:f>MAX(0,MIN(J441,P441)-MAX(F441,L441))</x:f>
        <x:v>287</x:v>
      </x:c>
      <x:c r="S441" s="25" t="n">
        <x:f>MAX(0,MIN(K441,Q441)-MAX(G441,M441))</x:f>
        <x:v>0</x:v>
      </x:c>
      <x:c r="T441" s="25" t="n">
        <x:f>R441*S441</x:f>
        <x:v>0</x:v>
      </x:c>
      <x:c r="U441" s="24" t="str">
        <x:f>IF(T441&gt;0,"ERREUR chevauchement","OK aucun chevauchement")</x:f>
        <x:v>OK aucun chevauchement</x:v>
      </x:c>
      <x:c r="V441" s="24" t="str">
        <x:v>OK aucun chevauchement</x:v>
      </x:c>
      <x:c r="W441" s="24" t="str">
        <x:v>Si ERREUR : déplacer/redimensionner l’objet B ou créer un bookmark/masquage</x:v>
      </x:c>
    </x:row>
    <x:row r="442">
      <x:c r="A442" s="24" t="str">
        <x:v>Glossaire</x:v>
      </x:c>
      <x:c r="B442" s="24" t="str">
        <x:v>G01_Title_Zone</x:v>
      </x:c>
      <x:c r="C442" s="24" t="str">
        <x:v>Title_Zone</x:v>
      </x:c>
      <x:c r="D442" s="24" t="str">
        <x:v>G03_KPI_Row</x:v>
      </x:c>
      <x:c r="E442" s="24" t="str">
        <x:v>KPI_Card_04</x:v>
      </x:c>
      <x:c r="F442" s="25" t="n">
        <x:v>20</x:v>
      </x:c>
      <x:c r="G442" s="25" t="n">
        <x:v>110</x:v>
      </x:c>
      <x:c r="H442" s="25" t="n">
        <x:v>1500</x:v>
      </x:c>
      <x:c r="I442" s="25" t="n">
        <x:v>132</x:v>
      </x:c>
      <x:c r="J442" s="25" t="n">
        <x:f>F442+H442</x:f>
        <x:v>1520</x:v>
      </x:c>
      <x:c r="K442" s="25" t="n">
        <x:f>G442+I442</x:f>
        <x:v>242</x:v>
      </x:c>
      <x:c r="L442" s="25" t="n">
        <x:v>929</x:v>
      </x:c>
      <x:c r="M442" s="25" t="n">
        <x:v>330</x:v>
      </x:c>
      <x:c r="N442" s="25" t="n">
        <x:v>287</x:v>
      </x:c>
      <x:c r="O442" s="25" t="n">
        <x:v>180</x:v>
      </x:c>
      <x:c r="P442" s="25" t="n">
        <x:f>L442+N442</x:f>
        <x:v>1216</x:v>
      </x:c>
      <x:c r="Q442" s="25" t="n">
        <x:f>M442+O442</x:f>
        <x:v>510</x:v>
      </x:c>
      <x:c r="R442" s="25" t="n">
        <x:f>MAX(0,MIN(J442,P442)-MAX(F442,L442))</x:f>
        <x:v>287</x:v>
      </x:c>
      <x:c r="S442" s="25" t="n">
        <x:f>MAX(0,MIN(K442,Q442)-MAX(G442,M442))</x:f>
        <x:v>0</x:v>
      </x:c>
      <x:c r="T442" s="25" t="n">
        <x:f>R442*S442</x:f>
        <x:v>0</x:v>
      </x:c>
      <x:c r="U442" s="24" t="str">
        <x:f>IF(T442&gt;0,"ERREUR chevauchement","OK aucun chevauchement")</x:f>
        <x:v>OK aucun chevauchement</x:v>
      </x:c>
      <x:c r="V442" s="24" t="str">
        <x:v>OK aucun chevauchement</x:v>
      </x:c>
      <x:c r="W442" s="24" t="str">
        <x:v>Si ERREUR : déplacer/redimensionner l’objet B ou créer un bookmark/masquage</x:v>
      </x:c>
    </x:row>
    <x:row r="443">
      <x:c r="A443" s="24" t="str">
        <x:v>Glossaire</x:v>
      </x:c>
      <x:c r="B443" s="24" t="str">
        <x:v>G01_Title_Zone</x:v>
      </x:c>
      <x:c r="C443" s="24" t="str">
        <x:v>Title_Zone</x:v>
      </x:c>
      <x:c r="D443" s="24" t="str">
        <x:v>G03_KPI_Row</x:v>
      </x:c>
      <x:c r="E443" s="24" t="str">
        <x:v>KPI_Card_05</x:v>
      </x:c>
      <x:c r="F443" s="25" t="n">
        <x:v>20</x:v>
      </x:c>
      <x:c r="G443" s="25" t="n">
        <x:v>110</x:v>
      </x:c>
      <x:c r="H443" s="25" t="n">
        <x:v>1500</x:v>
      </x:c>
      <x:c r="I443" s="25" t="n">
        <x:v>132</x:v>
      </x:c>
      <x:c r="J443" s="25" t="n">
        <x:f>F443+H443</x:f>
        <x:v>1520</x:v>
      </x:c>
      <x:c r="K443" s="25" t="n">
        <x:f>G443+I443</x:f>
        <x:v>242</x:v>
      </x:c>
      <x:c r="L443" s="25" t="n">
        <x:v>1232</x:v>
      </x:c>
      <x:c r="M443" s="25" t="n">
        <x:v>330</x:v>
      </x:c>
      <x:c r="N443" s="25" t="n">
        <x:v>287</x:v>
      </x:c>
      <x:c r="O443" s="25" t="n">
        <x:v>180</x:v>
      </x:c>
      <x:c r="P443" s="25" t="n">
        <x:f>L443+N443</x:f>
        <x:v>1519</x:v>
      </x:c>
      <x:c r="Q443" s="25" t="n">
        <x:f>M443+O443</x:f>
        <x:v>510</x:v>
      </x:c>
      <x:c r="R443" s="25" t="n">
        <x:f>MAX(0,MIN(J443,P443)-MAX(F443,L443))</x:f>
        <x:v>287</x:v>
      </x:c>
      <x:c r="S443" s="25" t="n">
        <x:f>MAX(0,MIN(K443,Q443)-MAX(G443,M443))</x:f>
        <x:v>0</x:v>
      </x:c>
      <x:c r="T443" s="25" t="n">
        <x:f>R443*S443</x:f>
        <x:v>0</x:v>
      </x:c>
      <x:c r="U443" s="24" t="str">
        <x:f>IF(T443&gt;0,"ERREUR chevauchement","OK aucun chevauchement")</x:f>
        <x:v>OK aucun chevauchement</x:v>
      </x:c>
      <x:c r="V443" s="24" t="str">
        <x:v>OK aucun chevauchement</x:v>
      </x:c>
      <x:c r="W443" s="24" t="str">
        <x:v>Si ERREUR : déplacer/redimensionner l’objet B ou créer un bookmark/masquage</x:v>
      </x:c>
    </x:row>
    <x:row r="444">
      <x:c r="A444" s="24" t="str">
        <x:v>Glossaire</x:v>
      </x:c>
      <x:c r="B444" s="24" t="str">
        <x:v>G01_Title_Zone</x:v>
      </x:c>
      <x:c r="C444" s="24" t="str">
        <x:v>Title_Zone</x:v>
      </x:c>
      <x:c r="D444" s="24" t="str">
        <x:v>G02_Glossaire_Table</x:v>
      </x:c>
      <x:c r="E444" s="24" t="str">
        <x:v>Table_Glossaire</x:v>
      </x:c>
      <x:c r="F444" s="25" t="n">
        <x:v>20</x:v>
      </x:c>
      <x:c r="G444" s="25" t="n">
        <x:v>110</x:v>
      </x:c>
      <x:c r="H444" s="25" t="n">
        <x:v>1500</x:v>
      </x:c>
      <x:c r="I444" s="25" t="n">
        <x:v>132</x:v>
      </x:c>
      <x:c r="J444" s="25" t="n">
        <x:f>F444+H444</x:f>
        <x:v>1520</x:v>
      </x:c>
      <x:c r="K444" s="25" t="n">
        <x:f>G444+I444</x:f>
        <x:v>242</x:v>
      </x:c>
      <x:c r="L444" s="25" t="n">
        <x:v>20</x:v>
      </x:c>
      <x:c r="M444" s="25" t="n">
        <x:v>260</x:v>
      </x:c>
      <x:c r="N444" s="25" t="n">
        <x:v>1500</x:v>
      </x:c>
      <x:c r="O444" s="25" t="n">
        <x:v>750</x:v>
      </x:c>
      <x:c r="P444" s="25" t="n">
        <x:f>L444+N444</x:f>
        <x:v>1520</x:v>
      </x:c>
      <x:c r="Q444" s="25" t="n">
        <x:f>M444+O444</x:f>
        <x:v>1010</x:v>
      </x:c>
      <x:c r="R444" s="25" t="n">
        <x:f>MAX(0,MIN(J444,P444)-MAX(F444,L444))</x:f>
        <x:v>1500</x:v>
      </x:c>
      <x:c r="S444" s="25" t="n">
        <x:f>MAX(0,MIN(K444,Q444)-MAX(G444,M444))</x:f>
        <x:v>0</x:v>
      </x:c>
      <x:c r="T444" s="25" t="n">
        <x:f>R444*S444</x:f>
        <x:v>0</x:v>
      </x:c>
      <x:c r="U444" s="24" t="str">
        <x:f>IF(T444&gt;0,"ERREUR chevauchement","OK aucun chevauchement")</x:f>
        <x:v>OK aucun chevauchement</x:v>
      </x:c>
      <x:c r="V444" s="24" t="str">
        <x:v>OK aucun chevauchement</x:v>
      </x:c>
      <x:c r="W444" s="24" t="str">
        <x:v>Si ERREUR : déplacer/redimensionner l’objet B ou créer un bookmark/masquage</x:v>
      </x:c>
    </x:row>
    <x:row r="445">
      <x:c r="A445" s="24" t="str">
        <x:v>Glossaire</x:v>
      </x:c>
      <x:c r="B445" s="24" t="str">
        <x:v>G02_Toolbar</x:v>
      </x:c>
      <x:c r="C445" s="24" t="str">
        <x:v>Toolbar_Slicers_FieldParams</x:v>
      </x:c>
      <x:c r="D445" s="24" t="str">
        <x:v>G03_KPI_Row</x:v>
      </x:c>
      <x:c r="E445" s="24" t="str">
        <x:v>KPI_Card_01</x:v>
      </x:c>
      <x:c r="F445" s="25" t="n">
        <x:v>20</x:v>
      </x:c>
      <x:c r="G445" s="25" t="n">
        <x:v>260</x:v>
      </x:c>
      <x:c r="H445" s="25" t="n">
        <x:v>1500</x:v>
      </x:c>
      <x:c r="I445" s="25" t="n">
        <x:v>56</x:v>
      </x:c>
      <x:c r="J445" s="25" t="n">
        <x:f>F445+H445</x:f>
        <x:v>1520</x:v>
      </x:c>
      <x:c r="K445" s="25" t="n">
        <x:f>G445+I445</x:f>
        <x:v>316</x:v>
      </x:c>
      <x:c r="L445" s="25" t="n">
        <x:v>20</x:v>
      </x:c>
      <x:c r="M445" s="25" t="n">
        <x:v>330</x:v>
      </x:c>
      <x:c r="N445" s="25" t="n">
        <x:v>287</x:v>
      </x:c>
      <x:c r="O445" s="25" t="n">
        <x:v>180</x:v>
      </x:c>
      <x:c r="P445" s="25" t="n">
        <x:f>L445+N445</x:f>
        <x:v>307</x:v>
      </x:c>
      <x:c r="Q445" s="25" t="n">
        <x:f>M445+O445</x:f>
        <x:v>510</x:v>
      </x:c>
      <x:c r="R445" s="25" t="n">
        <x:f>MAX(0,MIN(J445,P445)-MAX(F445,L445))</x:f>
        <x:v>287</x:v>
      </x:c>
      <x:c r="S445" s="25" t="n">
        <x:f>MAX(0,MIN(K445,Q445)-MAX(G445,M445))</x:f>
        <x:v>0</x:v>
      </x:c>
      <x:c r="T445" s="25" t="n">
        <x:f>R445*S445</x:f>
        <x:v>0</x:v>
      </x:c>
      <x:c r="U445" s="24" t="str">
        <x:f>IF(T445&gt;0,"ERREUR chevauchement","OK aucun chevauchement")</x:f>
        <x:v>OK aucun chevauchement</x:v>
      </x:c>
      <x:c r="V445" s="24" t="str">
        <x:v>OK aucun chevauchement</x:v>
      </x:c>
      <x:c r="W445" s="24" t="str">
        <x:v>Si ERREUR : déplacer/redimensionner l’objet B ou créer un bookmark/masquage</x:v>
      </x:c>
    </x:row>
    <x:row r="446">
      <x:c r="A446" s="24" t="str">
        <x:v>Glossaire</x:v>
      </x:c>
      <x:c r="B446" s="24" t="str">
        <x:v>G02_Toolbar</x:v>
      </x:c>
      <x:c r="C446" s="24" t="str">
        <x:v>Toolbar_Slicers_FieldParams</x:v>
      </x:c>
      <x:c r="D446" s="24" t="str">
        <x:v>G03_KPI_Row</x:v>
      </x:c>
      <x:c r="E446" s="24" t="str">
        <x:v>KPI_Card_02</x:v>
      </x:c>
      <x:c r="F446" s="25" t="n">
        <x:v>20</x:v>
      </x:c>
      <x:c r="G446" s="25" t="n">
        <x:v>260</x:v>
      </x:c>
      <x:c r="H446" s="25" t="n">
        <x:v>1500</x:v>
      </x:c>
      <x:c r="I446" s="25" t="n">
        <x:v>56</x:v>
      </x:c>
      <x:c r="J446" s="25" t="n">
        <x:f>F446+H446</x:f>
        <x:v>1520</x:v>
      </x:c>
      <x:c r="K446" s="25" t="n">
        <x:f>G446+I446</x:f>
        <x:v>316</x:v>
      </x:c>
      <x:c r="L446" s="25" t="n">
        <x:v>323</x:v>
      </x:c>
      <x:c r="M446" s="25" t="n">
        <x:v>330</x:v>
      </x:c>
      <x:c r="N446" s="25" t="n">
        <x:v>287</x:v>
      </x:c>
      <x:c r="O446" s="25" t="n">
        <x:v>180</x:v>
      </x:c>
      <x:c r="P446" s="25" t="n">
        <x:f>L446+N446</x:f>
        <x:v>610</x:v>
      </x:c>
      <x:c r="Q446" s="25" t="n">
        <x:f>M446+O446</x:f>
        <x:v>510</x:v>
      </x:c>
      <x:c r="R446" s="25" t="n">
        <x:f>MAX(0,MIN(J446,P446)-MAX(F446,L446))</x:f>
        <x:v>287</x:v>
      </x:c>
      <x:c r="S446" s="25" t="n">
        <x:f>MAX(0,MIN(K446,Q446)-MAX(G446,M446))</x:f>
        <x:v>0</x:v>
      </x:c>
      <x:c r="T446" s="25" t="n">
        <x:f>R446*S446</x:f>
        <x:v>0</x:v>
      </x:c>
      <x:c r="U446" s="24" t="str">
        <x:f>IF(T446&gt;0,"ERREUR chevauchement","OK aucun chevauchement")</x:f>
        <x:v>OK aucun chevauchement</x:v>
      </x:c>
      <x:c r="V446" s="24" t="str">
        <x:v>OK aucun chevauchement</x:v>
      </x:c>
      <x:c r="W446" s="24" t="str">
        <x:v>Si ERREUR : déplacer/redimensionner l’objet B ou créer un bookmark/masquage</x:v>
      </x:c>
    </x:row>
    <x:row r="447">
      <x:c r="A447" s="24" t="str">
        <x:v>Glossaire</x:v>
      </x:c>
      <x:c r="B447" s="24" t="str">
        <x:v>G02_Toolbar</x:v>
      </x:c>
      <x:c r="C447" s="24" t="str">
        <x:v>Toolbar_Slicers_FieldParams</x:v>
      </x:c>
      <x:c r="D447" s="24" t="str">
        <x:v>G03_KPI_Row</x:v>
      </x:c>
      <x:c r="E447" s="24" t="str">
        <x:v>KPI_Card_03</x:v>
      </x:c>
      <x:c r="F447" s="25" t="n">
        <x:v>20</x:v>
      </x:c>
      <x:c r="G447" s="25" t="n">
        <x:v>260</x:v>
      </x:c>
      <x:c r="H447" s="25" t="n">
        <x:v>1500</x:v>
      </x:c>
      <x:c r="I447" s="25" t="n">
        <x:v>56</x:v>
      </x:c>
      <x:c r="J447" s="25" t="n">
        <x:f>F447+H447</x:f>
        <x:v>1520</x:v>
      </x:c>
      <x:c r="K447" s="25" t="n">
        <x:f>G447+I447</x:f>
        <x:v>316</x:v>
      </x:c>
      <x:c r="L447" s="25" t="n">
        <x:v>626</x:v>
      </x:c>
      <x:c r="M447" s="25" t="n">
        <x:v>330</x:v>
      </x:c>
      <x:c r="N447" s="25" t="n">
        <x:v>287</x:v>
      </x:c>
      <x:c r="O447" s="25" t="n">
        <x:v>180</x:v>
      </x:c>
      <x:c r="P447" s="25" t="n">
        <x:f>L447+N447</x:f>
        <x:v>913</x:v>
      </x:c>
      <x:c r="Q447" s="25" t="n">
        <x:f>M447+O447</x:f>
        <x:v>510</x:v>
      </x:c>
      <x:c r="R447" s="25" t="n">
        <x:f>MAX(0,MIN(J447,P447)-MAX(F447,L447))</x:f>
        <x:v>287</x:v>
      </x:c>
      <x:c r="S447" s="25" t="n">
        <x:f>MAX(0,MIN(K447,Q447)-MAX(G447,M447))</x:f>
        <x:v>0</x:v>
      </x:c>
      <x:c r="T447" s="25" t="n">
        <x:f>R447*S447</x:f>
        <x:v>0</x:v>
      </x:c>
      <x:c r="U447" s="24" t="str">
        <x:f>IF(T447&gt;0,"ERREUR chevauchement","OK aucun chevauchement")</x:f>
        <x:v>OK aucun chevauchement</x:v>
      </x:c>
      <x:c r="V447" s="24" t="str">
        <x:v>OK aucun chevauchement</x:v>
      </x:c>
      <x:c r="W447" s="24" t="str">
        <x:v>Si ERREUR : déplacer/redimensionner l’objet B ou créer un bookmark/masquage</x:v>
      </x:c>
    </x:row>
    <x:row r="448">
      <x:c r="A448" s="24" t="str">
        <x:v>Glossaire</x:v>
      </x:c>
      <x:c r="B448" s="24" t="str">
        <x:v>G02_Toolbar</x:v>
      </x:c>
      <x:c r="C448" s="24" t="str">
        <x:v>Toolbar_Slicers_FieldParams</x:v>
      </x:c>
      <x:c r="D448" s="24" t="str">
        <x:v>G03_KPI_Row</x:v>
      </x:c>
      <x:c r="E448" s="24" t="str">
        <x:v>KPI_Card_04</x:v>
      </x:c>
      <x:c r="F448" s="25" t="n">
        <x:v>20</x:v>
      </x:c>
      <x:c r="G448" s="25" t="n">
        <x:v>260</x:v>
      </x:c>
      <x:c r="H448" s="25" t="n">
        <x:v>1500</x:v>
      </x:c>
      <x:c r="I448" s="25" t="n">
        <x:v>56</x:v>
      </x:c>
      <x:c r="J448" s="25" t="n">
        <x:f>F448+H448</x:f>
        <x:v>1520</x:v>
      </x:c>
      <x:c r="K448" s="25" t="n">
        <x:f>G448+I448</x:f>
        <x:v>316</x:v>
      </x:c>
      <x:c r="L448" s="25" t="n">
        <x:v>929</x:v>
      </x:c>
      <x:c r="M448" s="25" t="n">
        <x:v>330</x:v>
      </x:c>
      <x:c r="N448" s="25" t="n">
        <x:v>287</x:v>
      </x:c>
      <x:c r="O448" s="25" t="n">
        <x:v>180</x:v>
      </x:c>
      <x:c r="P448" s="25" t="n">
        <x:f>L448+N448</x:f>
        <x:v>1216</x:v>
      </x:c>
      <x:c r="Q448" s="25" t="n">
        <x:f>M448+O448</x:f>
        <x:v>510</x:v>
      </x:c>
      <x:c r="R448" s="25" t="n">
        <x:f>MAX(0,MIN(J448,P448)-MAX(F448,L448))</x:f>
        <x:v>287</x:v>
      </x:c>
      <x:c r="S448" s="25" t="n">
        <x:f>MAX(0,MIN(K448,Q448)-MAX(G448,M448))</x:f>
        <x:v>0</x:v>
      </x:c>
      <x:c r="T448" s="25" t="n">
        <x:f>R448*S448</x:f>
        <x:v>0</x:v>
      </x:c>
      <x:c r="U448" s="24" t="str">
        <x:f>IF(T448&gt;0,"ERREUR chevauchement","OK aucun chevauchement")</x:f>
        <x:v>OK aucun chevauchement</x:v>
      </x:c>
      <x:c r="V448" s="24" t="str">
        <x:v>OK aucun chevauchement</x:v>
      </x:c>
      <x:c r="W448" s="24" t="str">
        <x:v>Si ERREUR : déplacer/redimensionner l’objet B ou créer un bookmark/masquage</x:v>
      </x:c>
    </x:row>
    <x:row r="449">
      <x:c r="A449" s="24" t="str">
        <x:v>Glossaire</x:v>
      </x:c>
      <x:c r="B449" s="24" t="str">
        <x:v>G02_Toolbar</x:v>
      </x:c>
      <x:c r="C449" s="24" t="str">
        <x:v>Toolbar_Slicers_FieldParams</x:v>
      </x:c>
      <x:c r="D449" s="24" t="str">
        <x:v>G03_KPI_Row</x:v>
      </x:c>
      <x:c r="E449" s="24" t="str">
        <x:v>KPI_Card_05</x:v>
      </x:c>
      <x:c r="F449" s="25" t="n">
        <x:v>20</x:v>
      </x:c>
      <x:c r="G449" s="25" t="n">
        <x:v>260</x:v>
      </x:c>
      <x:c r="H449" s="25" t="n">
        <x:v>1500</x:v>
      </x:c>
      <x:c r="I449" s="25" t="n">
        <x:v>56</x:v>
      </x:c>
      <x:c r="J449" s="25" t="n">
        <x:f>F449+H449</x:f>
        <x:v>1520</x:v>
      </x:c>
      <x:c r="K449" s="25" t="n">
        <x:f>G449+I449</x:f>
        <x:v>316</x:v>
      </x:c>
      <x:c r="L449" s="25" t="n">
        <x:v>1232</x:v>
      </x:c>
      <x:c r="M449" s="25" t="n">
        <x:v>330</x:v>
      </x:c>
      <x:c r="N449" s="25" t="n">
        <x:v>287</x:v>
      </x:c>
      <x:c r="O449" s="25" t="n">
        <x:v>180</x:v>
      </x:c>
      <x:c r="P449" s="25" t="n">
        <x:f>L449+N449</x:f>
        <x:v>1519</x:v>
      </x:c>
      <x:c r="Q449" s="25" t="n">
        <x:f>M449+O449</x:f>
        <x:v>510</x:v>
      </x:c>
      <x:c r="R449" s="25" t="n">
        <x:f>MAX(0,MIN(J449,P449)-MAX(F449,L449))</x:f>
        <x:v>287</x:v>
      </x:c>
      <x:c r="S449" s="25" t="n">
        <x:f>MAX(0,MIN(K449,Q449)-MAX(G449,M449))</x:f>
        <x:v>0</x:v>
      </x:c>
      <x:c r="T449" s="25" t="n">
        <x:f>R449*S449</x:f>
        <x:v>0</x:v>
      </x:c>
      <x:c r="U449" s="24" t="str">
        <x:f>IF(T449&gt;0,"ERREUR chevauchement","OK aucun chevauchement")</x:f>
        <x:v>OK aucun chevauchement</x:v>
      </x:c>
      <x:c r="V449" s="24" t="str">
        <x:v>OK aucun chevauchement</x:v>
      </x:c>
      <x:c r="W449" s="24" t="str">
        <x:v>Si ERREUR : déplacer/redimensionner l’objet B ou créer un bookmark/masquage</x:v>
      </x:c>
    </x:row>
    <x:row r="450">
      <x:c r="A450" s="24" t="str">
        <x:v>Glossaire</x:v>
      </x:c>
      <x:c r="B450" s="24" t="str">
        <x:v>G02_Toolbar</x:v>
      </x:c>
      <x:c r="C450" s="24" t="str">
        <x:v>Toolbar_Slicers_FieldParams</x:v>
      </x:c>
      <x:c r="D450" s="24" t="str">
        <x:v>G02_Glossaire_Table</x:v>
      </x:c>
      <x:c r="E450" s="24" t="str">
        <x:v>Table_Glossaire</x:v>
      </x:c>
      <x:c r="F450" s="25" t="n">
        <x:v>20</x:v>
      </x:c>
      <x:c r="G450" s="25" t="n">
        <x:v>260</x:v>
      </x:c>
      <x:c r="H450" s="25" t="n">
        <x:v>1500</x:v>
      </x:c>
      <x:c r="I450" s="25" t="n">
        <x:v>56</x:v>
      </x:c>
      <x:c r="J450" s="25" t="n">
        <x:f>F450+H450</x:f>
        <x:v>1520</x:v>
      </x:c>
      <x:c r="K450" s="25" t="n">
        <x:f>G450+I450</x:f>
        <x:v>316</x:v>
      </x:c>
      <x:c r="L450" s="25" t="n">
        <x:v>20</x:v>
      </x:c>
      <x:c r="M450" s="25" t="n">
        <x:v>260</x:v>
      </x:c>
      <x:c r="N450" s="25" t="n">
        <x:v>1500</x:v>
      </x:c>
      <x:c r="O450" s="25" t="n">
        <x:v>750</x:v>
      </x:c>
      <x:c r="P450" s="25" t="n">
        <x:f>L450+N450</x:f>
        <x:v>1520</x:v>
      </x:c>
      <x:c r="Q450" s="25" t="n">
        <x:f>M450+O450</x:f>
        <x:v>1010</x:v>
      </x:c>
      <x:c r="R450" s="25" t="n">
        <x:f>MAX(0,MIN(J450,P450)-MAX(F450,L450))</x:f>
        <x:v>1500</x:v>
      </x:c>
      <x:c r="S450" s="25" t="n">
        <x:f>MAX(0,MIN(K450,Q450)-MAX(G450,M450))</x:f>
        <x:v>56</x:v>
      </x:c>
      <x:c r="T450" s="25" t="n">
        <x:f>R450*S450</x:f>
        <x:v>84000</x:v>
      </x:c>
      <x:c r="U450" s="24" t="str">
        <x:f>IF(T450&gt;0,"ERREUR chevauchement","OK aucun chevauchement")</x:f>
        <x:v>ERREUR chevauchement</x:v>
      </x:c>
      <x:c r="V450" s="24" t="str">
        <x:v>ERREUR chevauchement</x:v>
      </x:c>
      <x:c r="W450" s="24" t="str">
        <x:v>Si ERREUR : déplacer/redimensionner l’objet B ou créer un bookmark/masquage</x:v>
      </x:c>
    </x:row>
    <x:row r="451">
      <x:c r="A451" s="24" t="str">
        <x:v>Glossaire</x:v>
      </x:c>
      <x:c r="B451" s="24" t="str">
        <x:v>G03_KPI_Row</x:v>
      </x:c>
      <x:c r="C451" s="24" t="str">
        <x:v>KPI_Card_01</x:v>
      </x:c>
      <x:c r="D451" s="24" t="str">
        <x:v>G03_KPI_Row</x:v>
      </x:c>
      <x:c r="E451" s="24" t="str">
        <x:v>KPI_Card_02</x:v>
      </x:c>
      <x:c r="F451" s="25" t="n">
        <x:v>20</x:v>
      </x:c>
      <x:c r="G451" s="25" t="n">
        <x:v>330</x:v>
      </x:c>
      <x:c r="H451" s="25" t="n">
        <x:v>287</x:v>
      </x:c>
      <x:c r="I451" s="25" t="n">
        <x:v>180</x:v>
      </x:c>
      <x:c r="J451" s="25" t="n">
        <x:f>F451+H451</x:f>
        <x:v>307</x:v>
      </x:c>
      <x:c r="K451" s="25" t="n">
        <x:f>G451+I451</x:f>
        <x:v>510</x:v>
      </x:c>
      <x:c r="L451" s="25" t="n">
        <x:v>323</x:v>
      </x:c>
      <x:c r="M451" s="25" t="n">
        <x:v>330</x:v>
      </x:c>
      <x:c r="N451" s="25" t="n">
        <x:v>287</x:v>
      </x:c>
      <x:c r="O451" s="25" t="n">
        <x:v>180</x:v>
      </x:c>
      <x:c r="P451" s="25" t="n">
        <x:f>L451+N451</x:f>
        <x:v>610</x:v>
      </x:c>
      <x:c r="Q451" s="25" t="n">
        <x:f>M451+O451</x:f>
        <x:v>510</x:v>
      </x:c>
      <x:c r="R451" s="25" t="n">
        <x:f>MAX(0,MIN(J451,P451)-MAX(F451,L451))</x:f>
        <x:v>0</x:v>
      </x:c>
      <x:c r="S451" s="25" t="n">
        <x:f>MAX(0,MIN(K451,Q451)-MAX(G451,M451))</x:f>
        <x:v>180</x:v>
      </x:c>
      <x:c r="T451" s="25" t="n">
        <x:f>R451*S451</x:f>
        <x:v>0</x:v>
      </x:c>
      <x:c r="U451" s="24" t="str">
        <x:f>IF(T451&gt;0,"ERREUR chevauchement","OK aucun chevauchement")</x:f>
        <x:v>OK aucun chevauchement</x:v>
      </x:c>
      <x:c r="V451" s="24" t="str">
        <x:v>OK aucun chevauchement</x:v>
      </x:c>
      <x:c r="W451" s="24" t="str">
        <x:v>Si ERREUR : déplacer/redimensionner l’objet B ou créer un bookmark/masquage</x:v>
      </x:c>
    </x:row>
    <x:row r="452">
      <x:c r="A452" s="24" t="str">
        <x:v>Glossaire</x:v>
      </x:c>
      <x:c r="B452" s="24" t="str">
        <x:v>G03_KPI_Row</x:v>
      </x:c>
      <x:c r="C452" s="24" t="str">
        <x:v>KPI_Card_01</x:v>
      </x:c>
      <x:c r="D452" s="24" t="str">
        <x:v>G03_KPI_Row</x:v>
      </x:c>
      <x:c r="E452" s="24" t="str">
        <x:v>KPI_Card_03</x:v>
      </x:c>
      <x:c r="F452" s="25" t="n">
        <x:v>20</x:v>
      </x:c>
      <x:c r="G452" s="25" t="n">
        <x:v>330</x:v>
      </x:c>
      <x:c r="H452" s="25" t="n">
        <x:v>287</x:v>
      </x:c>
      <x:c r="I452" s="25" t="n">
        <x:v>180</x:v>
      </x:c>
      <x:c r="J452" s="25" t="n">
        <x:f>F452+H452</x:f>
        <x:v>307</x:v>
      </x:c>
      <x:c r="K452" s="25" t="n">
        <x:f>G452+I452</x:f>
        <x:v>510</x:v>
      </x:c>
      <x:c r="L452" s="25" t="n">
        <x:v>626</x:v>
      </x:c>
      <x:c r="M452" s="25" t="n">
        <x:v>330</x:v>
      </x:c>
      <x:c r="N452" s="25" t="n">
        <x:v>287</x:v>
      </x:c>
      <x:c r="O452" s="25" t="n">
        <x:v>180</x:v>
      </x:c>
      <x:c r="P452" s="25" t="n">
        <x:f>L452+N452</x:f>
        <x:v>913</x:v>
      </x:c>
      <x:c r="Q452" s="25" t="n">
        <x:f>M452+O452</x:f>
        <x:v>510</x:v>
      </x:c>
      <x:c r="R452" s="25" t="n">
        <x:f>MAX(0,MIN(J452,P452)-MAX(F452,L452))</x:f>
        <x:v>0</x:v>
      </x:c>
      <x:c r="S452" s="25" t="n">
        <x:f>MAX(0,MIN(K452,Q452)-MAX(G452,M452))</x:f>
        <x:v>180</x:v>
      </x:c>
      <x:c r="T452" s="25" t="n">
        <x:f>R452*S452</x:f>
        <x:v>0</x:v>
      </x:c>
      <x:c r="U452" s="24" t="str">
        <x:f>IF(T452&gt;0,"ERREUR chevauchement","OK aucun chevauchement")</x:f>
        <x:v>OK aucun chevauchement</x:v>
      </x:c>
      <x:c r="V452" s="24" t="str">
        <x:v>OK aucun chevauchement</x:v>
      </x:c>
      <x:c r="W452" s="24" t="str">
        <x:v>Si ERREUR : déplacer/redimensionner l’objet B ou créer un bookmark/masquage</x:v>
      </x:c>
    </x:row>
    <x:row r="453">
      <x:c r="A453" s="24" t="str">
        <x:v>Glossaire</x:v>
      </x:c>
      <x:c r="B453" s="24" t="str">
        <x:v>G03_KPI_Row</x:v>
      </x:c>
      <x:c r="C453" s="24" t="str">
        <x:v>KPI_Card_01</x:v>
      </x:c>
      <x:c r="D453" s="24" t="str">
        <x:v>G03_KPI_Row</x:v>
      </x:c>
      <x:c r="E453" s="24" t="str">
        <x:v>KPI_Card_04</x:v>
      </x:c>
      <x:c r="F453" s="25" t="n">
        <x:v>20</x:v>
      </x:c>
      <x:c r="G453" s="25" t="n">
        <x:v>330</x:v>
      </x:c>
      <x:c r="H453" s="25" t="n">
        <x:v>287</x:v>
      </x:c>
      <x:c r="I453" s="25" t="n">
        <x:v>180</x:v>
      </x:c>
      <x:c r="J453" s="25" t="n">
        <x:f>F453+H453</x:f>
        <x:v>307</x:v>
      </x:c>
      <x:c r="K453" s="25" t="n">
        <x:f>G453+I453</x:f>
        <x:v>510</x:v>
      </x:c>
      <x:c r="L453" s="25" t="n">
        <x:v>929</x:v>
      </x:c>
      <x:c r="M453" s="25" t="n">
        <x:v>330</x:v>
      </x:c>
      <x:c r="N453" s="25" t="n">
        <x:v>287</x:v>
      </x:c>
      <x:c r="O453" s="25" t="n">
        <x:v>180</x:v>
      </x:c>
      <x:c r="P453" s="25" t="n">
        <x:f>L453+N453</x:f>
        <x:v>1216</x:v>
      </x:c>
      <x:c r="Q453" s="25" t="n">
        <x:f>M453+O453</x:f>
        <x:v>510</x:v>
      </x:c>
      <x:c r="R453" s="25" t="n">
        <x:f>MAX(0,MIN(J453,P453)-MAX(F453,L453))</x:f>
        <x:v>0</x:v>
      </x:c>
      <x:c r="S453" s="25" t="n">
        <x:f>MAX(0,MIN(K453,Q453)-MAX(G453,M453))</x:f>
        <x:v>180</x:v>
      </x:c>
      <x:c r="T453" s="25" t="n">
        <x:f>R453*S453</x:f>
        <x:v>0</x:v>
      </x:c>
      <x:c r="U453" s="24" t="str">
        <x:f>IF(T453&gt;0,"ERREUR chevauchement","OK aucun chevauchement")</x:f>
        <x:v>OK aucun chevauchement</x:v>
      </x:c>
      <x:c r="V453" s="24" t="str">
        <x:v>OK aucun chevauchement</x:v>
      </x:c>
      <x:c r="W453" s="24" t="str">
        <x:v>Si ERREUR : déplacer/redimensionner l’objet B ou créer un bookmark/masquage</x:v>
      </x:c>
    </x:row>
    <x:row r="454">
      <x:c r="A454" s="24" t="str">
        <x:v>Glossaire</x:v>
      </x:c>
      <x:c r="B454" s="24" t="str">
        <x:v>G03_KPI_Row</x:v>
      </x:c>
      <x:c r="C454" s="24" t="str">
        <x:v>KPI_Card_01</x:v>
      </x:c>
      <x:c r="D454" s="24" t="str">
        <x:v>G03_KPI_Row</x:v>
      </x:c>
      <x:c r="E454" s="24" t="str">
        <x:v>KPI_Card_05</x:v>
      </x:c>
      <x:c r="F454" s="25" t="n">
        <x:v>20</x:v>
      </x:c>
      <x:c r="G454" s="25" t="n">
        <x:v>330</x:v>
      </x:c>
      <x:c r="H454" s="25" t="n">
        <x:v>287</x:v>
      </x:c>
      <x:c r="I454" s="25" t="n">
        <x:v>180</x:v>
      </x:c>
      <x:c r="J454" s="25" t="n">
        <x:f>F454+H454</x:f>
        <x:v>307</x:v>
      </x:c>
      <x:c r="K454" s="25" t="n">
        <x:f>G454+I454</x:f>
        <x:v>510</x:v>
      </x:c>
      <x:c r="L454" s="25" t="n">
        <x:v>1232</x:v>
      </x:c>
      <x:c r="M454" s="25" t="n">
        <x:v>330</x:v>
      </x:c>
      <x:c r="N454" s="25" t="n">
        <x:v>287</x:v>
      </x:c>
      <x:c r="O454" s="25" t="n">
        <x:v>180</x:v>
      </x:c>
      <x:c r="P454" s="25" t="n">
        <x:f>L454+N454</x:f>
        <x:v>1519</x:v>
      </x:c>
      <x:c r="Q454" s="25" t="n">
        <x:f>M454+O454</x:f>
        <x:v>510</x:v>
      </x:c>
      <x:c r="R454" s="25" t="n">
        <x:f>MAX(0,MIN(J454,P454)-MAX(F454,L454))</x:f>
        <x:v>0</x:v>
      </x:c>
      <x:c r="S454" s="25" t="n">
        <x:f>MAX(0,MIN(K454,Q454)-MAX(G454,M454))</x:f>
        <x:v>180</x:v>
      </x:c>
      <x:c r="T454" s="25" t="n">
        <x:f>R454*S454</x:f>
        <x:v>0</x:v>
      </x:c>
      <x:c r="U454" s="24" t="str">
        <x:f>IF(T454&gt;0,"ERREUR chevauchement","OK aucun chevauchement")</x:f>
        <x:v>OK aucun chevauchement</x:v>
      </x:c>
      <x:c r="V454" s="24" t="str">
        <x:v>OK aucun chevauchement</x:v>
      </x:c>
      <x:c r="W454" s="24" t="str">
        <x:v>Si ERREUR : déplacer/redimensionner l’objet B ou créer un bookmark/masquage</x:v>
      </x:c>
    </x:row>
    <x:row r="455">
      <x:c r="A455" s="24" t="str">
        <x:v>Glossaire</x:v>
      </x:c>
      <x:c r="B455" s="24" t="str">
        <x:v>G03_KPI_Row</x:v>
      </x:c>
      <x:c r="C455" s="24" t="str">
        <x:v>KPI_Card_01</x:v>
      </x:c>
      <x:c r="D455" s="24" t="str">
        <x:v>G02_Glossaire_Table</x:v>
      </x:c>
      <x:c r="E455" s="24" t="str">
        <x:v>Table_Glossaire</x:v>
      </x:c>
      <x:c r="F455" s="25" t="n">
        <x:v>20</x:v>
      </x:c>
      <x:c r="G455" s="25" t="n">
        <x:v>330</x:v>
      </x:c>
      <x:c r="H455" s="25" t="n">
        <x:v>287</x:v>
      </x:c>
      <x:c r="I455" s="25" t="n">
        <x:v>180</x:v>
      </x:c>
      <x:c r="J455" s="25" t="n">
        <x:f>F455+H455</x:f>
        <x:v>307</x:v>
      </x:c>
      <x:c r="K455" s="25" t="n">
        <x:f>G455+I455</x:f>
        <x:v>510</x:v>
      </x:c>
      <x:c r="L455" s="25" t="n">
        <x:v>20</x:v>
      </x:c>
      <x:c r="M455" s="25" t="n">
        <x:v>260</x:v>
      </x:c>
      <x:c r="N455" s="25" t="n">
        <x:v>1500</x:v>
      </x:c>
      <x:c r="O455" s="25" t="n">
        <x:v>750</x:v>
      </x:c>
      <x:c r="P455" s="25" t="n">
        <x:f>L455+N455</x:f>
        <x:v>1520</x:v>
      </x:c>
      <x:c r="Q455" s="25" t="n">
        <x:f>M455+O455</x:f>
        <x:v>1010</x:v>
      </x:c>
      <x:c r="R455" s="25" t="n">
        <x:f>MAX(0,MIN(J455,P455)-MAX(F455,L455))</x:f>
        <x:v>287</x:v>
      </x:c>
      <x:c r="S455" s="25" t="n">
        <x:f>MAX(0,MIN(K455,Q455)-MAX(G455,M455))</x:f>
        <x:v>180</x:v>
      </x:c>
      <x:c r="T455" s="25" t="n">
        <x:f>R455*S455</x:f>
        <x:v>51660</x:v>
      </x:c>
      <x:c r="U455" s="24" t="str">
        <x:f>IF(T455&gt;0,"ERREUR chevauchement","OK aucun chevauchement")</x:f>
        <x:v>ERREUR chevauchement</x:v>
      </x:c>
      <x:c r="V455" s="24" t="str">
        <x:v>ERREUR chevauchement</x:v>
      </x:c>
      <x:c r="W455" s="24" t="str">
        <x:v>Si ERREUR : déplacer/redimensionner l’objet B ou créer un bookmark/masquage</x:v>
      </x:c>
    </x:row>
    <x:row r="456">
      <x:c r="A456" s="24" t="str">
        <x:v>Glossaire</x:v>
      </x:c>
      <x:c r="B456" s="24" t="str">
        <x:v>G03_KPI_Row</x:v>
      </x:c>
      <x:c r="C456" s="24" t="str">
        <x:v>KPI_Card_02</x:v>
      </x:c>
      <x:c r="D456" s="24" t="str">
        <x:v>G03_KPI_Row</x:v>
      </x:c>
      <x:c r="E456" s="24" t="str">
        <x:v>KPI_Card_03</x:v>
      </x:c>
      <x:c r="F456" s="25" t="n">
        <x:v>323</x:v>
      </x:c>
      <x:c r="G456" s="25" t="n">
        <x:v>330</x:v>
      </x:c>
      <x:c r="H456" s="25" t="n">
        <x:v>287</x:v>
      </x:c>
      <x:c r="I456" s="25" t="n">
        <x:v>180</x:v>
      </x:c>
      <x:c r="J456" s="25" t="n">
        <x:f>F456+H456</x:f>
        <x:v>610</x:v>
      </x:c>
      <x:c r="K456" s="25" t="n">
        <x:f>G456+I456</x:f>
        <x:v>510</x:v>
      </x:c>
      <x:c r="L456" s="25" t="n">
        <x:v>626</x:v>
      </x:c>
      <x:c r="M456" s="25" t="n">
        <x:v>330</x:v>
      </x:c>
      <x:c r="N456" s="25" t="n">
        <x:v>287</x:v>
      </x:c>
      <x:c r="O456" s="25" t="n">
        <x:v>180</x:v>
      </x:c>
      <x:c r="P456" s="25" t="n">
        <x:f>L456+N456</x:f>
        <x:v>913</x:v>
      </x:c>
      <x:c r="Q456" s="25" t="n">
        <x:f>M456+O456</x:f>
        <x:v>510</x:v>
      </x:c>
      <x:c r="R456" s="25" t="n">
        <x:f>MAX(0,MIN(J456,P456)-MAX(F456,L456))</x:f>
        <x:v>0</x:v>
      </x:c>
      <x:c r="S456" s="25" t="n">
        <x:f>MAX(0,MIN(K456,Q456)-MAX(G456,M456))</x:f>
        <x:v>180</x:v>
      </x:c>
      <x:c r="T456" s="25" t="n">
        <x:f>R456*S456</x:f>
        <x:v>0</x:v>
      </x:c>
      <x:c r="U456" s="24" t="str">
        <x:f>IF(T456&gt;0,"ERREUR chevauchement","OK aucun chevauchement")</x:f>
        <x:v>OK aucun chevauchement</x:v>
      </x:c>
      <x:c r="V456" s="24" t="str">
        <x:v>OK aucun chevauchement</x:v>
      </x:c>
      <x:c r="W456" s="24" t="str">
        <x:v>Si ERREUR : déplacer/redimensionner l’objet B ou créer un bookmark/masquage</x:v>
      </x:c>
    </x:row>
    <x:row r="457">
      <x:c r="A457" s="24" t="str">
        <x:v>Glossaire</x:v>
      </x:c>
      <x:c r="B457" s="24" t="str">
        <x:v>G03_KPI_Row</x:v>
      </x:c>
      <x:c r="C457" s="24" t="str">
        <x:v>KPI_Card_02</x:v>
      </x:c>
      <x:c r="D457" s="24" t="str">
        <x:v>G03_KPI_Row</x:v>
      </x:c>
      <x:c r="E457" s="24" t="str">
        <x:v>KPI_Card_04</x:v>
      </x:c>
      <x:c r="F457" s="25" t="n">
        <x:v>323</x:v>
      </x:c>
      <x:c r="G457" s="25" t="n">
        <x:v>330</x:v>
      </x:c>
      <x:c r="H457" s="25" t="n">
        <x:v>287</x:v>
      </x:c>
      <x:c r="I457" s="25" t="n">
        <x:v>180</x:v>
      </x:c>
      <x:c r="J457" s="25" t="n">
        <x:f>F457+H457</x:f>
        <x:v>610</x:v>
      </x:c>
      <x:c r="K457" s="25" t="n">
        <x:f>G457+I457</x:f>
        <x:v>510</x:v>
      </x:c>
      <x:c r="L457" s="25" t="n">
        <x:v>929</x:v>
      </x:c>
      <x:c r="M457" s="25" t="n">
        <x:v>330</x:v>
      </x:c>
      <x:c r="N457" s="25" t="n">
        <x:v>287</x:v>
      </x:c>
      <x:c r="O457" s="25" t="n">
        <x:v>180</x:v>
      </x:c>
      <x:c r="P457" s="25" t="n">
        <x:f>L457+N457</x:f>
        <x:v>1216</x:v>
      </x:c>
      <x:c r="Q457" s="25" t="n">
        <x:f>M457+O457</x:f>
        <x:v>510</x:v>
      </x:c>
      <x:c r="R457" s="25" t="n">
        <x:f>MAX(0,MIN(J457,P457)-MAX(F457,L457))</x:f>
        <x:v>0</x:v>
      </x:c>
      <x:c r="S457" s="25" t="n">
        <x:f>MAX(0,MIN(K457,Q457)-MAX(G457,M457))</x:f>
        <x:v>180</x:v>
      </x:c>
      <x:c r="T457" s="25" t="n">
        <x:f>R457*S457</x:f>
        <x:v>0</x:v>
      </x:c>
      <x:c r="U457" s="24" t="str">
        <x:f>IF(T457&gt;0,"ERREUR chevauchement","OK aucun chevauchement")</x:f>
        <x:v>OK aucun chevauchement</x:v>
      </x:c>
      <x:c r="V457" s="24" t="str">
        <x:v>OK aucun chevauchement</x:v>
      </x:c>
      <x:c r="W457" s="24" t="str">
        <x:v>Si ERREUR : déplacer/redimensionner l’objet B ou créer un bookmark/masquage</x:v>
      </x:c>
    </x:row>
    <x:row r="458">
      <x:c r="A458" s="24" t="str">
        <x:v>Glossaire</x:v>
      </x:c>
      <x:c r="B458" s="24" t="str">
        <x:v>G03_KPI_Row</x:v>
      </x:c>
      <x:c r="C458" s="24" t="str">
        <x:v>KPI_Card_02</x:v>
      </x:c>
      <x:c r="D458" s="24" t="str">
        <x:v>G03_KPI_Row</x:v>
      </x:c>
      <x:c r="E458" s="24" t="str">
        <x:v>KPI_Card_05</x:v>
      </x:c>
      <x:c r="F458" s="25" t="n">
        <x:v>323</x:v>
      </x:c>
      <x:c r="G458" s="25" t="n">
        <x:v>330</x:v>
      </x:c>
      <x:c r="H458" s="25" t="n">
        <x:v>287</x:v>
      </x:c>
      <x:c r="I458" s="25" t="n">
        <x:v>180</x:v>
      </x:c>
      <x:c r="J458" s="25" t="n">
        <x:f>F458+H458</x:f>
        <x:v>610</x:v>
      </x:c>
      <x:c r="K458" s="25" t="n">
        <x:f>G458+I458</x:f>
        <x:v>510</x:v>
      </x:c>
      <x:c r="L458" s="25" t="n">
        <x:v>1232</x:v>
      </x:c>
      <x:c r="M458" s="25" t="n">
        <x:v>330</x:v>
      </x:c>
      <x:c r="N458" s="25" t="n">
        <x:v>287</x:v>
      </x:c>
      <x:c r="O458" s="25" t="n">
        <x:v>180</x:v>
      </x:c>
      <x:c r="P458" s="25" t="n">
        <x:f>L458+N458</x:f>
        <x:v>1519</x:v>
      </x:c>
      <x:c r="Q458" s="25" t="n">
        <x:f>M458+O458</x:f>
        <x:v>510</x:v>
      </x:c>
      <x:c r="R458" s="25" t="n">
        <x:f>MAX(0,MIN(J458,P458)-MAX(F458,L458))</x:f>
        <x:v>0</x:v>
      </x:c>
      <x:c r="S458" s="25" t="n">
        <x:f>MAX(0,MIN(K458,Q458)-MAX(G458,M458))</x:f>
        <x:v>180</x:v>
      </x:c>
      <x:c r="T458" s="25" t="n">
        <x:f>R458*S458</x:f>
        <x:v>0</x:v>
      </x:c>
      <x:c r="U458" s="24" t="str">
        <x:f>IF(T458&gt;0,"ERREUR chevauchement","OK aucun chevauchement")</x:f>
        <x:v>OK aucun chevauchement</x:v>
      </x:c>
      <x:c r="V458" s="24" t="str">
        <x:v>OK aucun chevauchement</x:v>
      </x:c>
      <x:c r="W458" s="24" t="str">
        <x:v>Si ERREUR : déplacer/redimensionner l’objet B ou créer un bookmark/masquage</x:v>
      </x:c>
    </x:row>
    <x:row r="459">
      <x:c r="A459" s="24" t="str">
        <x:v>Glossaire</x:v>
      </x:c>
      <x:c r="B459" s="24" t="str">
        <x:v>G03_KPI_Row</x:v>
      </x:c>
      <x:c r="C459" s="24" t="str">
        <x:v>KPI_Card_02</x:v>
      </x:c>
      <x:c r="D459" s="24" t="str">
        <x:v>G02_Glossaire_Table</x:v>
      </x:c>
      <x:c r="E459" s="24" t="str">
        <x:v>Table_Glossaire</x:v>
      </x:c>
      <x:c r="F459" s="25" t="n">
        <x:v>323</x:v>
      </x:c>
      <x:c r="G459" s="25" t="n">
        <x:v>330</x:v>
      </x:c>
      <x:c r="H459" s="25" t="n">
        <x:v>287</x:v>
      </x:c>
      <x:c r="I459" s="25" t="n">
        <x:v>180</x:v>
      </x:c>
      <x:c r="J459" s="25" t="n">
        <x:f>F459+H459</x:f>
        <x:v>610</x:v>
      </x:c>
      <x:c r="K459" s="25" t="n">
        <x:f>G459+I459</x:f>
        <x:v>510</x:v>
      </x:c>
      <x:c r="L459" s="25" t="n">
        <x:v>20</x:v>
      </x:c>
      <x:c r="M459" s="25" t="n">
        <x:v>260</x:v>
      </x:c>
      <x:c r="N459" s="25" t="n">
        <x:v>1500</x:v>
      </x:c>
      <x:c r="O459" s="25" t="n">
        <x:v>750</x:v>
      </x:c>
      <x:c r="P459" s="25" t="n">
        <x:f>L459+N459</x:f>
        <x:v>1520</x:v>
      </x:c>
      <x:c r="Q459" s="25" t="n">
        <x:f>M459+O459</x:f>
        <x:v>1010</x:v>
      </x:c>
      <x:c r="R459" s="25" t="n">
        <x:f>MAX(0,MIN(J459,P459)-MAX(F459,L459))</x:f>
        <x:v>287</x:v>
      </x:c>
      <x:c r="S459" s="25" t="n">
        <x:f>MAX(0,MIN(K459,Q459)-MAX(G459,M459))</x:f>
        <x:v>180</x:v>
      </x:c>
      <x:c r="T459" s="25" t="n">
        <x:f>R459*S459</x:f>
        <x:v>51660</x:v>
      </x:c>
      <x:c r="U459" s="24" t="str">
        <x:f>IF(T459&gt;0,"ERREUR chevauchement","OK aucun chevauchement")</x:f>
        <x:v>ERREUR chevauchement</x:v>
      </x:c>
      <x:c r="V459" s="24" t="str">
        <x:v>ERREUR chevauchement</x:v>
      </x:c>
      <x:c r="W459" s="24" t="str">
        <x:v>Si ERREUR : déplacer/redimensionner l’objet B ou créer un bookmark/masquage</x:v>
      </x:c>
    </x:row>
    <x:row r="460">
      <x:c r="A460" s="24" t="str">
        <x:v>Glossaire</x:v>
      </x:c>
      <x:c r="B460" s="24" t="str">
        <x:v>G03_KPI_Row</x:v>
      </x:c>
      <x:c r="C460" s="24" t="str">
        <x:v>KPI_Card_03</x:v>
      </x:c>
      <x:c r="D460" s="24" t="str">
        <x:v>G03_KPI_Row</x:v>
      </x:c>
      <x:c r="E460" s="24" t="str">
        <x:v>KPI_Card_04</x:v>
      </x:c>
      <x:c r="F460" s="25" t="n">
        <x:v>626</x:v>
      </x:c>
      <x:c r="G460" s="25" t="n">
        <x:v>330</x:v>
      </x:c>
      <x:c r="H460" s="25" t="n">
        <x:v>287</x:v>
      </x:c>
      <x:c r="I460" s="25" t="n">
        <x:v>180</x:v>
      </x:c>
      <x:c r="J460" s="25" t="n">
        <x:f>F460+H460</x:f>
        <x:v>913</x:v>
      </x:c>
      <x:c r="K460" s="25" t="n">
        <x:f>G460+I460</x:f>
        <x:v>510</x:v>
      </x:c>
      <x:c r="L460" s="25" t="n">
        <x:v>929</x:v>
      </x:c>
      <x:c r="M460" s="25" t="n">
        <x:v>330</x:v>
      </x:c>
      <x:c r="N460" s="25" t="n">
        <x:v>287</x:v>
      </x:c>
      <x:c r="O460" s="25" t="n">
        <x:v>180</x:v>
      </x:c>
      <x:c r="P460" s="25" t="n">
        <x:f>L460+N460</x:f>
        <x:v>1216</x:v>
      </x:c>
      <x:c r="Q460" s="25" t="n">
        <x:f>M460+O460</x:f>
        <x:v>510</x:v>
      </x:c>
      <x:c r="R460" s="25" t="n">
        <x:f>MAX(0,MIN(J460,P460)-MAX(F460,L460))</x:f>
        <x:v>0</x:v>
      </x:c>
      <x:c r="S460" s="25" t="n">
        <x:f>MAX(0,MIN(K460,Q460)-MAX(G460,M460))</x:f>
        <x:v>180</x:v>
      </x:c>
      <x:c r="T460" s="25" t="n">
        <x:f>R460*S460</x:f>
        <x:v>0</x:v>
      </x:c>
      <x:c r="U460" s="24" t="str">
        <x:f>IF(T460&gt;0,"ERREUR chevauchement","OK aucun chevauchement")</x:f>
        <x:v>OK aucun chevauchement</x:v>
      </x:c>
      <x:c r="V460" s="24" t="str">
        <x:v>OK aucun chevauchement</x:v>
      </x:c>
      <x:c r="W460" s="24" t="str">
        <x:v>Si ERREUR : déplacer/redimensionner l’objet B ou créer un bookmark/masquage</x:v>
      </x:c>
    </x:row>
    <x:row r="461">
      <x:c r="A461" s="24" t="str">
        <x:v>Glossaire</x:v>
      </x:c>
      <x:c r="B461" s="24" t="str">
        <x:v>G03_KPI_Row</x:v>
      </x:c>
      <x:c r="C461" s="24" t="str">
        <x:v>KPI_Card_03</x:v>
      </x:c>
      <x:c r="D461" s="24" t="str">
        <x:v>G03_KPI_Row</x:v>
      </x:c>
      <x:c r="E461" s="24" t="str">
        <x:v>KPI_Card_05</x:v>
      </x:c>
      <x:c r="F461" s="25" t="n">
        <x:v>626</x:v>
      </x:c>
      <x:c r="G461" s="25" t="n">
        <x:v>330</x:v>
      </x:c>
      <x:c r="H461" s="25" t="n">
        <x:v>287</x:v>
      </x:c>
      <x:c r="I461" s="25" t="n">
        <x:v>180</x:v>
      </x:c>
      <x:c r="J461" s="25" t="n">
        <x:f>F461+H461</x:f>
        <x:v>913</x:v>
      </x:c>
      <x:c r="K461" s="25" t="n">
        <x:f>G461+I461</x:f>
        <x:v>510</x:v>
      </x:c>
      <x:c r="L461" s="25" t="n">
        <x:v>1232</x:v>
      </x:c>
      <x:c r="M461" s="25" t="n">
        <x:v>330</x:v>
      </x:c>
      <x:c r="N461" s="25" t="n">
        <x:v>287</x:v>
      </x:c>
      <x:c r="O461" s="25" t="n">
        <x:v>180</x:v>
      </x:c>
      <x:c r="P461" s="25" t="n">
        <x:f>L461+N461</x:f>
        <x:v>1519</x:v>
      </x:c>
      <x:c r="Q461" s="25" t="n">
        <x:f>M461+O461</x:f>
        <x:v>510</x:v>
      </x:c>
      <x:c r="R461" s="25" t="n">
        <x:f>MAX(0,MIN(J461,P461)-MAX(F461,L461))</x:f>
        <x:v>0</x:v>
      </x:c>
      <x:c r="S461" s="25" t="n">
        <x:f>MAX(0,MIN(K461,Q461)-MAX(G461,M461))</x:f>
        <x:v>180</x:v>
      </x:c>
      <x:c r="T461" s="25" t="n">
        <x:f>R461*S461</x:f>
        <x:v>0</x:v>
      </x:c>
      <x:c r="U461" s="24" t="str">
        <x:f>IF(T461&gt;0,"ERREUR chevauchement","OK aucun chevauchement")</x:f>
        <x:v>OK aucun chevauchement</x:v>
      </x:c>
      <x:c r="V461" s="24" t="str">
        <x:v>OK aucun chevauchement</x:v>
      </x:c>
      <x:c r="W461" s="24" t="str">
        <x:v>Si ERREUR : déplacer/redimensionner l’objet B ou créer un bookmark/masquage</x:v>
      </x:c>
    </x:row>
    <x:row r="462">
      <x:c r="A462" s="24" t="str">
        <x:v>Glossaire</x:v>
      </x:c>
      <x:c r="B462" s="24" t="str">
        <x:v>G03_KPI_Row</x:v>
      </x:c>
      <x:c r="C462" s="24" t="str">
        <x:v>KPI_Card_03</x:v>
      </x:c>
      <x:c r="D462" s="24" t="str">
        <x:v>G02_Glossaire_Table</x:v>
      </x:c>
      <x:c r="E462" s="24" t="str">
        <x:v>Table_Glossaire</x:v>
      </x:c>
      <x:c r="F462" s="25" t="n">
        <x:v>626</x:v>
      </x:c>
      <x:c r="G462" s="25" t="n">
        <x:v>330</x:v>
      </x:c>
      <x:c r="H462" s="25" t="n">
        <x:v>287</x:v>
      </x:c>
      <x:c r="I462" s="25" t="n">
        <x:v>180</x:v>
      </x:c>
      <x:c r="J462" s="25" t="n">
        <x:f>F462+H462</x:f>
        <x:v>913</x:v>
      </x:c>
      <x:c r="K462" s="25" t="n">
        <x:f>G462+I462</x:f>
        <x:v>510</x:v>
      </x:c>
      <x:c r="L462" s="25" t="n">
        <x:v>20</x:v>
      </x:c>
      <x:c r="M462" s="25" t="n">
        <x:v>260</x:v>
      </x:c>
      <x:c r="N462" s="25" t="n">
        <x:v>1500</x:v>
      </x:c>
      <x:c r="O462" s="25" t="n">
        <x:v>750</x:v>
      </x:c>
      <x:c r="P462" s="25" t="n">
        <x:f>L462+N462</x:f>
        <x:v>1520</x:v>
      </x:c>
      <x:c r="Q462" s="25" t="n">
        <x:f>M462+O462</x:f>
        <x:v>1010</x:v>
      </x:c>
      <x:c r="R462" s="25" t="n">
        <x:f>MAX(0,MIN(J462,P462)-MAX(F462,L462))</x:f>
        <x:v>287</x:v>
      </x:c>
      <x:c r="S462" s="25" t="n">
        <x:f>MAX(0,MIN(K462,Q462)-MAX(G462,M462))</x:f>
        <x:v>180</x:v>
      </x:c>
      <x:c r="T462" s="25" t="n">
        <x:f>R462*S462</x:f>
        <x:v>51660</x:v>
      </x:c>
      <x:c r="U462" s="24" t="str">
        <x:f>IF(T462&gt;0,"ERREUR chevauchement","OK aucun chevauchement")</x:f>
        <x:v>ERREUR chevauchement</x:v>
      </x:c>
      <x:c r="V462" s="24" t="str">
        <x:v>ERREUR chevauchement</x:v>
      </x:c>
      <x:c r="W462" s="24" t="str">
        <x:v>Si ERREUR : déplacer/redimensionner l’objet B ou créer un bookmark/masquage</x:v>
      </x:c>
    </x:row>
    <x:row r="463">
      <x:c r="A463" s="24" t="str">
        <x:v>Glossaire</x:v>
      </x:c>
      <x:c r="B463" s="24" t="str">
        <x:v>G03_KPI_Row</x:v>
      </x:c>
      <x:c r="C463" s="24" t="str">
        <x:v>KPI_Card_04</x:v>
      </x:c>
      <x:c r="D463" s="24" t="str">
        <x:v>G03_KPI_Row</x:v>
      </x:c>
      <x:c r="E463" s="24" t="str">
        <x:v>KPI_Card_05</x:v>
      </x:c>
      <x:c r="F463" s="25" t="n">
        <x:v>929</x:v>
      </x:c>
      <x:c r="G463" s="25" t="n">
        <x:v>330</x:v>
      </x:c>
      <x:c r="H463" s="25" t="n">
        <x:v>287</x:v>
      </x:c>
      <x:c r="I463" s="25" t="n">
        <x:v>180</x:v>
      </x:c>
      <x:c r="J463" s="25" t="n">
        <x:f>F463+H463</x:f>
        <x:v>1216</x:v>
      </x:c>
      <x:c r="K463" s="25" t="n">
        <x:f>G463+I463</x:f>
        <x:v>510</x:v>
      </x:c>
      <x:c r="L463" s="25" t="n">
        <x:v>1232</x:v>
      </x:c>
      <x:c r="M463" s="25" t="n">
        <x:v>330</x:v>
      </x:c>
      <x:c r="N463" s="25" t="n">
        <x:v>287</x:v>
      </x:c>
      <x:c r="O463" s="25" t="n">
        <x:v>180</x:v>
      </x:c>
      <x:c r="P463" s="25" t="n">
        <x:f>L463+N463</x:f>
        <x:v>1519</x:v>
      </x:c>
      <x:c r="Q463" s="25" t="n">
        <x:f>M463+O463</x:f>
        <x:v>510</x:v>
      </x:c>
      <x:c r="R463" s="25" t="n">
        <x:f>MAX(0,MIN(J463,P463)-MAX(F463,L463))</x:f>
        <x:v>0</x:v>
      </x:c>
      <x:c r="S463" s="25" t="n">
        <x:f>MAX(0,MIN(K463,Q463)-MAX(G463,M463))</x:f>
        <x:v>180</x:v>
      </x:c>
      <x:c r="T463" s="25" t="n">
        <x:f>R463*S463</x:f>
        <x:v>0</x:v>
      </x:c>
      <x:c r="U463" s="24" t="str">
        <x:f>IF(T463&gt;0,"ERREUR chevauchement","OK aucun chevauchement")</x:f>
        <x:v>OK aucun chevauchement</x:v>
      </x:c>
      <x:c r="V463" s="24" t="str">
        <x:v>OK aucun chevauchement</x:v>
      </x:c>
      <x:c r="W463" s="24" t="str">
        <x:v>Si ERREUR : déplacer/redimensionner l’objet B ou créer un bookmark/masquage</x:v>
      </x:c>
    </x:row>
    <x:row r="464">
      <x:c r="A464" s="24" t="str">
        <x:v>Glossaire</x:v>
      </x:c>
      <x:c r="B464" s="24" t="str">
        <x:v>G03_KPI_Row</x:v>
      </x:c>
      <x:c r="C464" s="24" t="str">
        <x:v>KPI_Card_04</x:v>
      </x:c>
      <x:c r="D464" s="24" t="str">
        <x:v>G02_Glossaire_Table</x:v>
      </x:c>
      <x:c r="E464" s="24" t="str">
        <x:v>Table_Glossaire</x:v>
      </x:c>
      <x:c r="F464" s="25" t="n">
        <x:v>929</x:v>
      </x:c>
      <x:c r="G464" s="25" t="n">
        <x:v>330</x:v>
      </x:c>
      <x:c r="H464" s="25" t="n">
        <x:v>287</x:v>
      </x:c>
      <x:c r="I464" s="25" t="n">
        <x:v>180</x:v>
      </x:c>
      <x:c r="J464" s="25" t="n">
        <x:f>F464+H464</x:f>
        <x:v>1216</x:v>
      </x:c>
      <x:c r="K464" s="25" t="n">
        <x:f>G464+I464</x:f>
        <x:v>510</x:v>
      </x:c>
      <x:c r="L464" s="25" t="n">
        <x:v>20</x:v>
      </x:c>
      <x:c r="M464" s="25" t="n">
        <x:v>260</x:v>
      </x:c>
      <x:c r="N464" s="25" t="n">
        <x:v>1500</x:v>
      </x:c>
      <x:c r="O464" s="25" t="n">
        <x:v>750</x:v>
      </x:c>
      <x:c r="P464" s="25" t="n">
        <x:f>L464+N464</x:f>
        <x:v>1520</x:v>
      </x:c>
      <x:c r="Q464" s="25" t="n">
        <x:f>M464+O464</x:f>
        <x:v>1010</x:v>
      </x:c>
      <x:c r="R464" s="25" t="n">
        <x:f>MAX(0,MIN(J464,P464)-MAX(F464,L464))</x:f>
        <x:v>287</x:v>
      </x:c>
      <x:c r="S464" s="25" t="n">
        <x:f>MAX(0,MIN(K464,Q464)-MAX(G464,M464))</x:f>
        <x:v>180</x:v>
      </x:c>
      <x:c r="T464" s="25" t="n">
        <x:f>R464*S464</x:f>
        <x:v>51660</x:v>
      </x:c>
      <x:c r="U464" s="24" t="str">
        <x:f>IF(T464&gt;0,"ERREUR chevauchement","OK aucun chevauchement")</x:f>
        <x:v>ERREUR chevauchement</x:v>
      </x:c>
      <x:c r="V464" s="24" t="str">
        <x:v>ERREUR chevauchement</x:v>
      </x:c>
      <x:c r="W464" s="24" t="str">
        <x:v>Si ERREUR : déplacer/redimensionner l’objet B ou créer un bookmark/masquage</x:v>
      </x:c>
    </x:row>
    <x:row r="465">
      <x:c r="A465" s="24" t="str">
        <x:v>Glossaire</x:v>
      </x:c>
      <x:c r="B465" s="24" t="str">
        <x:v>G03_KPI_Row</x:v>
      </x:c>
      <x:c r="C465" s="24" t="str">
        <x:v>KPI_Card_05</x:v>
      </x:c>
      <x:c r="D465" s="24" t="str">
        <x:v>G02_Glossaire_Table</x:v>
      </x:c>
      <x:c r="E465" s="24" t="str">
        <x:v>Table_Glossaire</x:v>
      </x:c>
      <x:c r="F465" s="25" t="n">
        <x:v>1232</x:v>
      </x:c>
      <x:c r="G465" s="25" t="n">
        <x:v>330</x:v>
      </x:c>
      <x:c r="H465" s="25" t="n">
        <x:v>287</x:v>
      </x:c>
      <x:c r="I465" s="25" t="n">
        <x:v>180</x:v>
      </x:c>
      <x:c r="J465" s="25" t="n">
        <x:f>F465+H465</x:f>
        <x:v>1519</x:v>
      </x:c>
      <x:c r="K465" s="25" t="n">
        <x:f>G465+I465</x:f>
        <x:v>510</x:v>
      </x:c>
      <x:c r="L465" s="25" t="n">
        <x:v>20</x:v>
      </x:c>
      <x:c r="M465" s="25" t="n">
        <x:v>260</x:v>
      </x:c>
      <x:c r="N465" s="25" t="n">
        <x:v>1500</x:v>
      </x:c>
      <x:c r="O465" s="25" t="n">
        <x:v>750</x:v>
      </x:c>
      <x:c r="P465" s="25" t="n">
        <x:f>L465+N465</x:f>
        <x:v>1520</x:v>
      </x:c>
      <x:c r="Q465" s="25" t="n">
        <x:f>M465+O465</x:f>
        <x:v>1010</x:v>
      </x:c>
      <x:c r="R465" s="25" t="n">
        <x:f>MAX(0,MIN(J465,P465)-MAX(F465,L465))</x:f>
        <x:v>287</x:v>
      </x:c>
      <x:c r="S465" s="25" t="n">
        <x:f>MAX(0,MIN(K465,Q465)-MAX(G465,M465))</x:f>
        <x:v>180</x:v>
      </x:c>
      <x:c r="T465" s="25" t="n">
        <x:f>R465*S465</x:f>
        <x:v>51660</x:v>
      </x:c>
      <x:c r="U465" s="24" t="str">
        <x:f>IF(T465&gt;0,"ERREUR chevauchement","OK aucun chevauchement")</x:f>
        <x:v>ERREUR chevauchement</x:v>
      </x:c>
      <x:c r="V465" s="24" t="str">
        <x:v>ERREUR chevauchement</x:v>
      </x:c>
      <x:c r="W465" s="24" t="str">
        <x:v>Si ERREUR : déplacer/redimensionner l’objet B ou créer un bookmark/masquage</x:v>
      </x:c>
    </x:row>
    <x:row r="466">
      <x:c r="A466" s="24" t="str">
        <x:v>Accueil</x:v>
      </x:c>
      <x:c r="B466" s="24" t="str">
        <x:v>G04_Gauges</x:v>
      </x:c>
      <x:c r="C466" s="24" t="str">
        <x:v>Gauge_Alertes_Row</x:v>
      </x:c>
      <x:c r="D466" s="24" t="str">
        <x:v>G05_Alertes_Reco</x:v>
      </x:c>
      <x:c r="E466" s="24" t="str">
        <x:v>Bloc_Alertes</x:v>
      </x:c>
      <x:c r="F466" s="25" t="n">
        <x:v>20</x:v>
      </x:c>
      <x:c r="G466" s="25" t="n">
        <x:v>530</x:v>
      </x:c>
      <x:c r="H466" s="25" t="n">
        <x:v>1500</x:v>
      </x:c>
      <x:c r="I466" s="25" t="n">
        <x:v>132</x:v>
      </x:c>
      <x:c r="J466" s="25" t="n">
        <x:f>F466+H466</x:f>
        <x:v>1520</x:v>
      </x:c>
      <x:c r="K466" s="25" t="n">
        <x:f>G466+I466</x:f>
        <x:v>662</x:v>
      </x:c>
      <x:c r="L466" s="25" t="n">
        <x:v>20</x:v>
      </x:c>
      <x:c r="M466" s="25" t="n">
        <x:v>682</x:v>
      </x:c>
      <x:c r="N466" s="25" t="n">
        <x:v>742</x:v>
      </x:c>
      <x:c r="O466" s="25" t="n">
        <x:v>280</x:v>
      </x:c>
      <x:c r="P466" s="25" t="n">
        <x:f>L466+N466</x:f>
        <x:v>762</x:v>
      </x:c>
      <x:c r="Q466" s="25" t="n">
        <x:f>M466+O466</x:f>
        <x:v>962</x:v>
      </x:c>
      <x:c r="R466" s="25" t="n">
        <x:f>MAX(0,MIN(J466,P466)-MAX(F466,L466))</x:f>
        <x:v>742</x:v>
      </x:c>
      <x:c r="S466" s="25" t="n">
        <x:f>MAX(0,MIN(K466,Q466)-MAX(G466,M466))</x:f>
        <x:v>0</x:v>
      </x:c>
      <x:c r="T466" s="25" t="n">
        <x:f>R466*S466</x:f>
        <x:v>0</x:v>
      </x:c>
      <x:c r="U466" s="24" t="str">
        <x:f>IF(T466&gt;0,"ERREUR chevauchement","OK aucun chevauchement")</x:f>
        <x:v>OK aucun chevauchement</x:v>
      </x:c>
      <x:c r="V466" s="24" t="str">
        <x:v>OK aucun chevauchement</x:v>
      </x:c>
      <x:c r="W466" s="24" t="str">
        <x:v>Si ERREUR : déplacer/redimensionner l’objet B ou créer un bookmark/masquage</x:v>
      </x:c>
    </x:row>
    <x:row r="467">
      <x:c r="A467" s="24" t="str">
        <x:v>Accueil</x:v>
      </x:c>
      <x:c r="B467" s="24" t="str">
        <x:v>G04_Gauges</x:v>
      </x:c>
      <x:c r="C467" s="24" t="str">
        <x:v>Gauge_Alertes_Row</x:v>
      </x:c>
      <x:c r="D467" s="24" t="str">
        <x:v>G05_Alertes_Reco</x:v>
      </x:c>
      <x:c r="E467" s="24" t="str">
        <x:v>Bloc_Recommandation</x:v>
      </x:c>
      <x:c r="F467" s="25" t="n">
        <x:v>20</x:v>
      </x:c>
      <x:c r="G467" s="25" t="n">
        <x:v>530</x:v>
      </x:c>
      <x:c r="H467" s="25" t="n">
        <x:v>1500</x:v>
      </x:c>
      <x:c r="I467" s="25" t="n">
        <x:v>132</x:v>
      </x:c>
      <x:c r="J467" s="25" t="n">
        <x:f>F467+H467</x:f>
        <x:v>1520</x:v>
      </x:c>
      <x:c r="K467" s="25" t="n">
        <x:f>G467+I467</x:f>
        <x:v>662</x:v>
      </x:c>
      <x:c r="L467" s="25" t="n">
        <x:v>778</x:v>
      </x:c>
      <x:c r="M467" s="25" t="n">
        <x:v>682</x:v>
      </x:c>
      <x:c r="N467" s="25" t="n">
        <x:v>742</x:v>
      </x:c>
      <x:c r="O467" s="25" t="n">
        <x:v>280</x:v>
      </x:c>
      <x:c r="P467" s="25" t="n">
        <x:f>L467+N467</x:f>
        <x:v>1520</x:v>
      </x:c>
      <x:c r="Q467" s="25" t="n">
        <x:f>M467+O467</x:f>
        <x:v>962</x:v>
      </x:c>
      <x:c r="R467" s="25" t="n">
        <x:f>MAX(0,MIN(J467,P467)-MAX(F467,L467))</x:f>
        <x:v>742</x:v>
      </x:c>
      <x:c r="S467" s="25" t="n">
        <x:f>MAX(0,MIN(K467,Q467)-MAX(G467,M467))</x:f>
        <x:v>0</x:v>
      </x:c>
      <x:c r="T467" s="25" t="n">
        <x:f>R467*S467</x:f>
        <x:v>0</x:v>
      </x:c>
      <x:c r="U467" s="24" t="str">
        <x:f>IF(T467&gt;0,"ERREUR chevauchement","OK aucun chevauchement")</x:f>
        <x:v>OK aucun chevauchement</x:v>
      </x:c>
      <x:c r="V467" s="24" t="str">
        <x:v>OK aucun chevauchement</x:v>
      </x:c>
      <x:c r="W467" s="24" t="str">
        <x:v>Si ERREUR : déplacer/redimensionner l’objet B ou créer un bookmark/masquage</x:v>
      </x:c>
    </x:row>
    <x:row r="468">
      <x:c r="A468" s="24" t="str">
        <x:v>Accueil</x:v>
      </x:c>
      <x:c r="B468" s="24" t="str">
        <x:v>G04_Gauges</x:v>
      </x:c>
      <x:c r="C468" s="24" t="str">
        <x:v>Gauge_Alertes_Row</x:v>
      </x:c>
      <x:c r="D468" s="24" t="str">
        <x:v>G06_Charts</x:v>
      </x:c>
      <x:c r="E468" s="24" t="str">
        <x:v>Line_Affaires</x:v>
      </x:c>
      <x:c r="F468" s="25" t="n">
        <x:v>20</x:v>
      </x:c>
      <x:c r="G468" s="25" t="n">
        <x:v>530</x:v>
      </x:c>
      <x:c r="H468" s="25" t="n">
        <x:v>1500</x:v>
      </x:c>
      <x:c r="I468" s="25" t="n">
        <x:v>132</x:v>
      </x:c>
      <x:c r="J468" s="25" t="n">
        <x:f>F468+H468</x:f>
        <x:v>1520</x:v>
      </x:c>
      <x:c r="K468" s="25" t="n">
        <x:f>G468+I468</x:f>
        <x:v>662</x:v>
      </x:c>
      <x:c r="L468" s="25" t="n">
        <x:v>20</x:v>
      </x:c>
      <x:c r="M468" s="25" t="n">
        <x:v>982</x:v>
      </x:c>
      <x:c r="N468" s="25" t="n">
        <x:v>742</x:v>
      </x:c>
      <x:c r="O468" s="25" t="n">
        <x:v>360</x:v>
      </x:c>
      <x:c r="P468" s="25" t="n">
        <x:f>L468+N468</x:f>
        <x:v>762</x:v>
      </x:c>
      <x:c r="Q468" s="25" t="n">
        <x:f>M468+O468</x:f>
        <x:v>1342</x:v>
      </x:c>
      <x:c r="R468" s="25" t="n">
        <x:f>MAX(0,MIN(J468,P468)-MAX(F468,L468))</x:f>
        <x:v>742</x:v>
      </x:c>
      <x:c r="S468" s="25" t="n">
        <x:f>MAX(0,MIN(K468,Q468)-MAX(G468,M468))</x:f>
        <x:v>0</x:v>
      </x:c>
      <x:c r="T468" s="25" t="n">
        <x:f>R468*S468</x:f>
        <x:v>0</x:v>
      </x:c>
      <x:c r="U468" s="24" t="str">
        <x:f>IF(T468&gt;0,"ERREUR chevauchement","OK aucun chevauchement")</x:f>
        <x:v>OK aucun chevauchement</x:v>
      </x:c>
      <x:c r="V468" s="24" t="str">
        <x:v>OK aucun chevauchement</x:v>
      </x:c>
      <x:c r="W468" s="24" t="str">
        <x:v>Si ERREUR : déplacer/redimensionner l’objet B ou créer un bookmark/masquage</x:v>
      </x:c>
    </x:row>
    <x:row r="469">
      <x:c r="A469" s="24" t="str">
        <x:v>Accueil</x:v>
      </x:c>
      <x:c r="B469" s="24" t="str">
        <x:v>G04_Gauges</x:v>
      </x:c>
      <x:c r="C469" s="24" t="str">
        <x:v>Gauge_Alertes_Row</x:v>
      </x:c>
      <x:c r="D469" s="24" t="str">
        <x:v>G06_Charts</x:v>
      </x:c>
      <x:c r="E469" s="24" t="str">
        <x:v>Bar_Repartition</x:v>
      </x:c>
      <x:c r="F469" s="25" t="n">
        <x:v>20</x:v>
      </x:c>
      <x:c r="G469" s="25" t="n">
        <x:v>530</x:v>
      </x:c>
      <x:c r="H469" s="25" t="n">
        <x:v>1500</x:v>
      </x:c>
      <x:c r="I469" s="25" t="n">
        <x:v>132</x:v>
      </x:c>
      <x:c r="J469" s="25" t="n">
        <x:f>F469+H469</x:f>
        <x:v>1520</x:v>
      </x:c>
      <x:c r="K469" s="25" t="n">
        <x:f>G469+I469</x:f>
        <x:v>662</x:v>
      </x:c>
      <x:c r="L469" s="25" t="n">
        <x:v>778</x:v>
      </x:c>
      <x:c r="M469" s="25" t="n">
        <x:v>982</x:v>
      </x:c>
      <x:c r="N469" s="25" t="n">
        <x:v>742</x:v>
      </x:c>
      <x:c r="O469" s="25" t="n">
        <x:v>360</x:v>
      </x:c>
      <x:c r="P469" s="25" t="n">
        <x:f>L469+N469</x:f>
        <x:v>1520</x:v>
      </x:c>
      <x:c r="Q469" s="25" t="n">
        <x:f>M469+O469</x:f>
        <x:v>1342</x:v>
      </x:c>
      <x:c r="R469" s="25" t="n">
        <x:f>MAX(0,MIN(J469,P469)-MAX(F469,L469))</x:f>
        <x:v>742</x:v>
      </x:c>
      <x:c r="S469" s="25" t="n">
        <x:f>MAX(0,MIN(K469,Q469)-MAX(G469,M469))</x:f>
        <x:v>0</x:v>
      </x:c>
      <x:c r="T469" s="25" t="n">
        <x:f>R469*S469</x:f>
        <x:v>0</x:v>
      </x:c>
      <x:c r="U469" s="24" t="str">
        <x:f>IF(T469&gt;0,"ERREUR chevauchement","OK aucun chevauchement")</x:f>
        <x:v>OK aucun chevauchement</x:v>
      </x:c>
      <x:c r="V469" s="24" t="str">
        <x:v>OK aucun chevauchement</x:v>
      </x:c>
      <x:c r="W469" s="24" t="str">
        <x:v>Si ERREUR : déplacer/redimensionner l’objet B ou créer un bookmark/masquage</x:v>
      </x:c>
    </x:row>
    <x:row r="470">
      <x:c r="A470" s="24" t="str">
        <x:v>Accueil</x:v>
      </x:c>
      <x:c r="B470" s="24" t="str">
        <x:v>G05_Alertes_Reco</x:v>
      </x:c>
      <x:c r="C470" s="24" t="str">
        <x:v>Bloc_Alertes</x:v>
      </x:c>
      <x:c r="D470" s="24" t="str">
        <x:v>G05_Alertes_Reco</x:v>
      </x:c>
      <x:c r="E470" s="24" t="str">
        <x:v>Bloc_Recommandation</x:v>
      </x:c>
      <x:c r="F470" s="25" t="n">
        <x:v>20</x:v>
      </x:c>
      <x:c r="G470" s="25" t="n">
        <x:v>682</x:v>
      </x:c>
      <x:c r="H470" s="25" t="n">
        <x:v>742</x:v>
      </x:c>
      <x:c r="I470" s="25" t="n">
        <x:v>280</x:v>
      </x:c>
      <x:c r="J470" s="25" t="n">
        <x:f>F470+H470</x:f>
        <x:v>762</x:v>
      </x:c>
      <x:c r="K470" s="25" t="n">
        <x:f>G470+I470</x:f>
        <x:v>962</x:v>
      </x:c>
      <x:c r="L470" s="25" t="n">
        <x:v>778</x:v>
      </x:c>
      <x:c r="M470" s="25" t="n">
        <x:v>682</x:v>
      </x:c>
      <x:c r="N470" s="25" t="n">
        <x:v>742</x:v>
      </x:c>
      <x:c r="O470" s="25" t="n">
        <x:v>280</x:v>
      </x:c>
      <x:c r="P470" s="25" t="n">
        <x:f>L470+N470</x:f>
        <x:v>1520</x:v>
      </x:c>
      <x:c r="Q470" s="25" t="n">
        <x:f>M470+O470</x:f>
        <x:v>962</x:v>
      </x:c>
      <x:c r="R470" s="25" t="n">
        <x:f>MAX(0,MIN(J470,P470)-MAX(F470,L470))</x:f>
        <x:v>0</x:v>
      </x:c>
      <x:c r="S470" s="25" t="n">
        <x:f>MAX(0,MIN(K470,Q470)-MAX(G470,M470))</x:f>
        <x:v>280</x:v>
      </x:c>
      <x:c r="T470" s="25" t="n">
        <x:f>R470*S470</x:f>
        <x:v>0</x:v>
      </x:c>
      <x:c r="U470" s="24" t="str">
        <x:f>IF(T470&gt;0,"ERREUR chevauchement","OK aucun chevauchement")</x:f>
        <x:v>OK aucun chevauchement</x:v>
      </x:c>
      <x:c r="V470" s="24" t="str">
        <x:v>OK aucun chevauchement</x:v>
      </x:c>
      <x:c r="W470" s="24" t="str">
        <x:v>Si ERREUR : déplacer/redimensionner l’objet B ou créer un bookmark/masquage</x:v>
      </x:c>
    </x:row>
    <x:row r="471">
      <x:c r="A471" s="24" t="str">
        <x:v>Accueil</x:v>
      </x:c>
      <x:c r="B471" s="24" t="str">
        <x:v>G05_Alertes_Reco</x:v>
      </x:c>
      <x:c r="C471" s="24" t="str">
        <x:v>Bloc_Alertes</x:v>
      </x:c>
      <x:c r="D471" s="24" t="str">
        <x:v>G06_Charts</x:v>
      </x:c>
      <x:c r="E471" s="24" t="str">
        <x:v>Line_Affaires</x:v>
      </x:c>
      <x:c r="F471" s="25" t="n">
        <x:v>20</x:v>
      </x:c>
      <x:c r="G471" s="25" t="n">
        <x:v>682</x:v>
      </x:c>
      <x:c r="H471" s="25" t="n">
        <x:v>742</x:v>
      </x:c>
      <x:c r="I471" s="25" t="n">
        <x:v>280</x:v>
      </x:c>
      <x:c r="J471" s="25" t="n">
        <x:f>F471+H471</x:f>
        <x:v>762</x:v>
      </x:c>
      <x:c r="K471" s="25" t="n">
        <x:f>G471+I471</x:f>
        <x:v>962</x:v>
      </x:c>
      <x:c r="L471" s="25" t="n">
        <x:v>20</x:v>
      </x:c>
      <x:c r="M471" s="25" t="n">
        <x:v>982</x:v>
      </x:c>
      <x:c r="N471" s="25" t="n">
        <x:v>742</x:v>
      </x:c>
      <x:c r="O471" s="25" t="n">
        <x:v>360</x:v>
      </x:c>
      <x:c r="P471" s="25" t="n">
        <x:f>L471+N471</x:f>
        <x:v>762</x:v>
      </x:c>
      <x:c r="Q471" s="25" t="n">
        <x:f>M471+O471</x:f>
        <x:v>1342</x:v>
      </x:c>
      <x:c r="R471" s="25" t="n">
        <x:f>MAX(0,MIN(J471,P471)-MAX(F471,L471))</x:f>
        <x:v>742</x:v>
      </x:c>
      <x:c r="S471" s="25" t="n">
        <x:f>MAX(0,MIN(K471,Q471)-MAX(G471,M471))</x:f>
        <x:v>0</x:v>
      </x:c>
      <x:c r="T471" s="25" t="n">
        <x:f>R471*S471</x:f>
        <x:v>0</x:v>
      </x:c>
      <x:c r="U471" s="24" t="str">
        <x:f>IF(T471&gt;0,"ERREUR chevauchement","OK aucun chevauchement")</x:f>
        <x:v>OK aucun chevauchement</x:v>
      </x:c>
      <x:c r="V471" s="24" t="str">
        <x:v>OK aucun chevauchement</x:v>
      </x:c>
      <x:c r="W471" s="24" t="str">
        <x:v>Si ERREUR : déplacer/redimensionner l’objet B ou créer un bookmark/masquage</x:v>
      </x:c>
    </x:row>
    <x:row r="472">
      <x:c r="A472" s="24" t="str">
        <x:v>Accueil</x:v>
      </x:c>
      <x:c r="B472" s="24" t="str">
        <x:v>G05_Alertes_Reco</x:v>
      </x:c>
      <x:c r="C472" s="24" t="str">
        <x:v>Bloc_Alertes</x:v>
      </x:c>
      <x:c r="D472" s="24" t="str">
        <x:v>G06_Charts</x:v>
      </x:c>
      <x:c r="E472" s="24" t="str">
        <x:v>Bar_Repartition</x:v>
      </x:c>
      <x:c r="F472" s="25" t="n">
        <x:v>20</x:v>
      </x:c>
      <x:c r="G472" s="25" t="n">
        <x:v>682</x:v>
      </x:c>
      <x:c r="H472" s="25" t="n">
        <x:v>742</x:v>
      </x:c>
      <x:c r="I472" s="25" t="n">
        <x:v>280</x:v>
      </x:c>
      <x:c r="J472" s="25" t="n">
        <x:f>F472+H472</x:f>
        <x:v>762</x:v>
      </x:c>
      <x:c r="K472" s="25" t="n">
        <x:f>G472+I472</x:f>
        <x:v>962</x:v>
      </x:c>
      <x:c r="L472" s="25" t="n">
        <x:v>778</x:v>
      </x:c>
      <x:c r="M472" s="25" t="n">
        <x:v>982</x:v>
      </x:c>
      <x:c r="N472" s="25" t="n">
        <x:v>742</x:v>
      </x:c>
      <x:c r="O472" s="25" t="n">
        <x:v>360</x:v>
      </x:c>
      <x:c r="P472" s="25" t="n">
        <x:f>L472+N472</x:f>
        <x:v>1520</x:v>
      </x:c>
      <x:c r="Q472" s="25" t="n">
        <x:f>M472+O472</x:f>
        <x:v>1342</x:v>
      </x:c>
      <x:c r="R472" s="25" t="n">
        <x:f>MAX(0,MIN(J472,P472)-MAX(F472,L472))</x:f>
        <x:v>0</x:v>
      </x:c>
      <x:c r="S472" s="25" t="n">
        <x:f>MAX(0,MIN(K472,Q472)-MAX(G472,M472))</x:f>
        <x:v>0</x:v>
      </x:c>
      <x:c r="T472" s="25" t="n">
        <x:f>R472*S472</x:f>
        <x:v>0</x:v>
      </x:c>
      <x:c r="U472" s="24" t="str">
        <x:f>IF(T472&gt;0,"ERREUR chevauchement","OK aucun chevauchement")</x:f>
        <x:v>OK aucun chevauchement</x:v>
      </x:c>
      <x:c r="V472" s="24" t="str">
        <x:v>OK aucun chevauchement</x:v>
      </x:c>
      <x:c r="W472" s="24" t="str">
        <x:v>Si ERREUR : déplacer/redimensionner l’objet B ou créer un bookmark/masquage</x:v>
      </x:c>
    </x:row>
    <x:row r="473">
      <x:c r="A473" s="24" t="str">
        <x:v>Accueil</x:v>
      </x:c>
      <x:c r="B473" s="24" t="str">
        <x:v>G05_Alertes_Reco</x:v>
      </x:c>
      <x:c r="C473" s="24" t="str">
        <x:v>Bloc_Recommandation</x:v>
      </x:c>
      <x:c r="D473" s="24" t="str">
        <x:v>G06_Charts</x:v>
      </x:c>
      <x:c r="E473" s="24" t="str">
        <x:v>Line_Affaires</x:v>
      </x:c>
      <x:c r="F473" s="25" t="n">
        <x:v>778</x:v>
      </x:c>
      <x:c r="G473" s="25" t="n">
        <x:v>682</x:v>
      </x:c>
      <x:c r="H473" s="25" t="n">
        <x:v>742</x:v>
      </x:c>
      <x:c r="I473" s="25" t="n">
        <x:v>280</x:v>
      </x:c>
      <x:c r="J473" s="25" t="n">
        <x:f>F473+H473</x:f>
        <x:v>1520</x:v>
      </x:c>
      <x:c r="K473" s="25" t="n">
        <x:f>G473+I473</x:f>
        <x:v>962</x:v>
      </x:c>
      <x:c r="L473" s="25" t="n">
        <x:v>20</x:v>
      </x:c>
      <x:c r="M473" s="25" t="n">
        <x:v>982</x:v>
      </x:c>
      <x:c r="N473" s="25" t="n">
        <x:v>742</x:v>
      </x:c>
      <x:c r="O473" s="25" t="n">
        <x:v>360</x:v>
      </x:c>
      <x:c r="P473" s="25" t="n">
        <x:f>L473+N473</x:f>
        <x:v>762</x:v>
      </x:c>
      <x:c r="Q473" s="25" t="n">
        <x:f>M473+O473</x:f>
        <x:v>1342</x:v>
      </x:c>
      <x:c r="R473" s="25" t="n">
        <x:f>MAX(0,MIN(J473,P473)-MAX(F473,L473))</x:f>
        <x:v>0</x:v>
      </x:c>
      <x:c r="S473" s="25" t="n">
        <x:f>MAX(0,MIN(K473,Q473)-MAX(G473,M473))</x:f>
        <x:v>0</x:v>
      </x:c>
      <x:c r="T473" s="25" t="n">
        <x:f>R473*S473</x:f>
        <x:v>0</x:v>
      </x:c>
      <x:c r="U473" s="24" t="str">
        <x:f>IF(T473&gt;0,"ERREUR chevauchement","OK aucun chevauchement")</x:f>
        <x:v>OK aucun chevauchement</x:v>
      </x:c>
      <x:c r="V473" s="24" t="str">
        <x:v>OK aucun chevauchement</x:v>
      </x:c>
      <x:c r="W473" s="24" t="str">
        <x:v>Si ERREUR : déplacer/redimensionner l’objet B ou créer un bookmark/masquage</x:v>
      </x:c>
    </x:row>
    <x:row r="474">
      <x:c r="A474" s="24" t="str">
        <x:v>Accueil</x:v>
      </x:c>
      <x:c r="B474" s="24" t="str">
        <x:v>G05_Alertes_Reco</x:v>
      </x:c>
      <x:c r="C474" s="24" t="str">
        <x:v>Bloc_Recommandation</x:v>
      </x:c>
      <x:c r="D474" s="24" t="str">
        <x:v>G06_Charts</x:v>
      </x:c>
      <x:c r="E474" s="24" t="str">
        <x:v>Bar_Repartition</x:v>
      </x:c>
      <x:c r="F474" s="25" t="n">
        <x:v>778</x:v>
      </x:c>
      <x:c r="G474" s="25" t="n">
        <x:v>682</x:v>
      </x:c>
      <x:c r="H474" s="25" t="n">
        <x:v>742</x:v>
      </x:c>
      <x:c r="I474" s="25" t="n">
        <x:v>280</x:v>
      </x:c>
      <x:c r="J474" s="25" t="n">
        <x:f>F474+H474</x:f>
        <x:v>1520</x:v>
      </x:c>
      <x:c r="K474" s="25" t="n">
        <x:f>G474+I474</x:f>
        <x:v>962</x:v>
      </x:c>
      <x:c r="L474" s="25" t="n">
        <x:v>778</x:v>
      </x:c>
      <x:c r="M474" s="25" t="n">
        <x:v>982</x:v>
      </x:c>
      <x:c r="N474" s="25" t="n">
        <x:v>742</x:v>
      </x:c>
      <x:c r="O474" s="25" t="n">
        <x:v>360</x:v>
      </x:c>
      <x:c r="P474" s="25" t="n">
        <x:f>L474+N474</x:f>
        <x:v>1520</x:v>
      </x:c>
      <x:c r="Q474" s="25" t="n">
        <x:f>M474+O474</x:f>
        <x:v>1342</x:v>
      </x:c>
      <x:c r="R474" s="25" t="n">
        <x:f>MAX(0,MIN(J474,P474)-MAX(F474,L474))</x:f>
        <x:v>742</x:v>
      </x:c>
      <x:c r="S474" s="25" t="n">
        <x:f>MAX(0,MIN(K474,Q474)-MAX(G474,M474))</x:f>
        <x:v>0</x:v>
      </x:c>
      <x:c r="T474" s="25" t="n">
        <x:f>R474*S474</x:f>
        <x:v>0</x:v>
      </x:c>
      <x:c r="U474" s="24" t="str">
        <x:f>IF(T474&gt;0,"ERREUR chevauchement","OK aucun chevauchement")</x:f>
        <x:v>OK aucun chevauchement</x:v>
      </x:c>
      <x:c r="V474" s="24" t="str">
        <x:v>OK aucun chevauchement</x:v>
      </x:c>
      <x:c r="W474" s="24" t="str">
        <x:v>Si ERREUR : déplacer/redimensionner l’objet B ou créer un bookmark/masquage</x:v>
      </x:c>
    </x:row>
    <x:row r="475">
      <x:c r="A475" s="24" t="str">
        <x:v>Accueil</x:v>
      </x:c>
      <x:c r="B475" s="24" t="str">
        <x:v>G06_Charts</x:v>
      </x:c>
      <x:c r="C475" s="24" t="str">
        <x:v>Line_Affaires</x:v>
      </x:c>
      <x:c r="D475" s="24" t="str">
        <x:v>G06_Charts</x:v>
      </x:c>
      <x:c r="E475" s="24" t="str">
        <x:v>Bar_Repartition</x:v>
      </x:c>
      <x:c r="F475" s="25" t="n">
        <x:v>20</x:v>
      </x:c>
      <x:c r="G475" s="25" t="n">
        <x:v>982</x:v>
      </x:c>
      <x:c r="H475" s="25" t="n">
        <x:v>742</x:v>
      </x:c>
      <x:c r="I475" s="25" t="n">
        <x:v>360</x:v>
      </x:c>
      <x:c r="J475" s="25" t="n">
        <x:f>F475+H475</x:f>
        <x:v>762</x:v>
      </x:c>
      <x:c r="K475" s="25" t="n">
        <x:f>G475+I475</x:f>
        <x:v>1342</x:v>
      </x:c>
      <x:c r="L475" s="25" t="n">
        <x:v>778</x:v>
      </x:c>
      <x:c r="M475" s="25" t="n">
        <x:v>982</x:v>
      </x:c>
      <x:c r="N475" s="25" t="n">
        <x:v>742</x:v>
      </x:c>
      <x:c r="O475" s="25" t="n">
        <x:v>360</x:v>
      </x:c>
      <x:c r="P475" s="25" t="n">
        <x:f>L475+N475</x:f>
        <x:v>1520</x:v>
      </x:c>
      <x:c r="Q475" s="25" t="n">
        <x:f>M475+O475</x:f>
        <x:v>1342</x:v>
      </x:c>
      <x:c r="R475" s="25" t="n">
        <x:f>MAX(0,MIN(J475,P475)-MAX(F475,L475))</x:f>
        <x:v>0</x:v>
      </x:c>
      <x:c r="S475" s="25" t="n">
        <x:f>MAX(0,MIN(K475,Q475)-MAX(G475,M475))</x:f>
        <x:v>360</x:v>
      </x:c>
      <x:c r="T475" s="25" t="n">
        <x:f>R475*S475</x:f>
        <x:v>0</x:v>
      </x:c>
      <x:c r="U475" s="24" t="str">
        <x:f>IF(T475&gt;0,"ERREUR chevauchement","OK aucun chevauchement")</x:f>
        <x:v>OK aucun chevauchement</x:v>
      </x:c>
      <x:c r="V475" s="24" t="str">
        <x:v>OK aucun chevauchement</x:v>
      </x:c>
      <x:c r="W475" s="24" t="str">
        <x:v>Si ERREUR : déplacer/redimensionner l’objet B ou créer un bookmark/masquage</x:v>
      </x:c>
    </x:row>
    <x:row r="476">
      <x:c r="A476" s="24" t="str">
        <x:v>Performance</x:v>
      </x:c>
      <x:c r="B476" s="24" t="str">
        <x:v>G04_Charts_Row</x:v>
      </x:c>
      <x:c r="C476" s="24" t="str">
        <x:v>Line_Affaires</x:v>
      </x:c>
      <x:c r="D476" s="24" t="str">
        <x:v>G04_Charts_Row</x:v>
      </x:c>
      <x:c r="E476" s="24" t="str">
        <x:v>Bar_Performance</x:v>
      </x:c>
      <x:c r="F476" s="25" t="n">
        <x:v>20</x:v>
      </x:c>
      <x:c r="G476" s="25" t="n">
        <x:v>535</x:v>
      </x:c>
      <x:c r="H476" s="25" t="n">
        <x:v>490</x:v>
      </x:c>
      <x:c r="I476" s="25" t="n">
        <x:v>380</x:v>
      </x:c>
      <x:c r="J476" s="25" t="n">
        <x:f>F476+H476</x:f>
        <x:v>510</x:v>
      </x:c>
      <x:c r="K476" s="25" t="n">
        <x:f>G476+I476</x:f>
        <x:v>915</x:v>
      </x:c>
      <x:c r="L476" s="25" t="n">
        <x:v>526</x:v>
      </x:c>
      <x:c r="M476" s="25" t="n">
        <x:v>535</x:v>
      </x:c>
      <x:c r="N476" s="25" t="n">
        <x:v>490</x:v>
      </x:c>
      <x:c r="O476" s="25" t="n">
        <x:v>380</x:v>
      </x:c>
      <x:c r="P476" s="25" t="n">
        <x:f>L476+N476</x:f>
        <x:v>1016</x:v>
      </x:c>
      <x:c r="Q476" s="25" t="n">
        <x:f>M476+O476</x:f>
        <x:v>915</x:v>
      </x:c>
      <x:c r="R476" s="25" t="n">
        <x:f>MAX(0,MIN(J476,P476)-MAX(F476,L476))</x:f>
        <x:v>0</x:v>
      </x:c>
      <x:c r="S476" s="25" t="n">
        <x:f>MAX(0,MIN(K476,Q476)-MAX(G476,M476))</x:f>
        <x:v>380</x:v>
      </x:c>
      <x:c r="T476" s="25" t="n">
        <x:f>R476*S476</x:f>
        <x:v>0</x:v>
      </x:c>
      <x:c r="U476" s="24" t="str">
        <x:f>IF(T476&gt;0,"ERREUR chevauchement","OK aucun chevauchement")</x:f>
        <x:v>OK aucun chevauchement</x:v>
      </x:c>
      <x:c r="V476" s="24" t="str">
        <x:v>OK aucun chevauchement</x:v>
      </x:c>
      <x:c r="W476" s="24" t="str">
        <x:v>Si ERREUR : déplacer/redimensionner l’objet B ou créer un bookmark/masquage</x:v>
      </x:c>
    </x:row>
    <x:row r="477">
      <x:c r="A477" s="24" t="str">
        <x:v>Performance</x:v>
      </x:c>
      <x:c r="B477" s="24" t="str">
        <x:v>G04_Charts_Row</x:v>
      </x:c>
      <x:c r="C477" s="24" t="str">
        <x:v>Line_Affaires</x:v>
      </x:c>
      <x:c r="D477" s="24" t="str">
        <x:v>G04_Charts_Row</x:v>
      </x:c>
      <x:c r="E477" s="24" t="str">
        <x:v>Bar_Repartition</x:v>
      </x:c>
      <x:c r="F477" s="25" t="n">
        <x:v>20</x:v>
      </x:c>
      <x:c r="G477" s="25" t="n">
        <x:v>535</x:v>
      </x:c>
      <x:c r="H477" s="25" t="n">
        <x:v>490</x:v>
      </x:c>
      <x:c r="I477" s="25" t="n">
        <x:v>380</x:v>
      </x:c>
      <x:c r="J477" s="25" t="n">
        <x:f>F477+H477</x:f>
        <x:v>510</x:v>
      </x:c>
      <x:c r="K477" s="25" t="n">
        <x:f>G477+I477</x:f>
        <x:v>915</x:v>
      </x:c>
      <x:c r="L477" s="25" t="n">
        <x:v>1032</x:v>
      </x:c>
      <x:c r="M477" s="25" t="n">
        <x:v>535</x:v>
      </x:c>
      <x:c r="N477" s="25" t="n">
        <x:v>488</x:v>
      </x:c>
      <x:c r="O477" s="25" t="n">
        <x:v>380</x:v>
      </x:c>
      <x:c r="P477" s="25" t="n">
        <x:f>L477+N477</x:f>
        <x:v>1520</x:v>
      </x:c>
      <x:c r="Q477" s="25" t="n">
        <x:f>M477+O477</x:f>
        <x:v>915</x:v>
      </x:c>
      <x:c r="R477" s="25" t="n">
        <x:f>MAX(0,MIN(J477,P477)-MAX(F477,L477))</x:f>
        <x:v>0</x:v>
      </x:c>
      <x:c r="S477" s="25" t="n">
        <x:f>MAX(0,MIN(K477,Q477)-MAX(G477,M477))</x:f>
        <x:v>380</x:v>
      </x:c>
      <x:c r="T477" s="25" t="n">
        <x:f>R477*S477</x:f>
        <x:v>0</x:v>
      </x:c>
      <x:c r="U477" s="24" t="str">
        <x:f>IF(T477&gt;0,"ERREUR chevauchement","OK aucun chevauchement")</x:f>
        <x:v>OK aucun chevauchement</x:v>
      </x:c>
      <x:c r="V477" s="24" t="str">
        <x:v>OK aucun chevauchement</x:v>
      </x:c>
      <x:c r="W477" s="24" t="str">
        <x:v>Si ERREUR : déplacer/redimensionner l’objet B ou créer un bookmark/masquage</x:v>
      </x:c>
    </x:row>
    <x:row r="478">
      <x:c r="A478" s="24" t="str">
        <x:v>Performance</x:v>
      </x:c>
      <x:c r="B478" s="24" t="str">
        <x:v>G04_Charts_Row</x:v>
      </x:c>
      <x:c r="C478" s="24" t="str">
        <x:v>Bar_Performance</x:v>
      </x:c>
      <x:c r="D478" s="24" t="str">
        <x:v>G04_Charts_Row</x:v>
      </x:c>
      <x:c r="E478" s="24" t="str">
        <x:v>Bar_Repartition</x:v>
      </x:c>
      <x:c r="F478" s="25" t="n">
        <x:v>526</x:v>
      </x:c>
      <x:c r="G478" s="25" t="n">
        <x:v>535</x:v>
      </x:c>
      <x:c r="H478" s="25" t="n">
        <x:v>490</x:v>
      </x:c>
      <x:c r="I478" s="25" t="n">
        <x:v>380</x:v>
      </x:c>
      <x:c r="J478" s="25" t="n">
        <x:f>F478+H478</x:f>
        <x:v>1016</x:v>
      </x:c>
      <x:c r="K478" s="25" t="n">
        <x:f>G478+I478</x:f>
        <x:v>915</x:v>
      </x:c>
      <x:c r="L478" s="25" t="n">
        <x:v>1032</x:v>
      </x:c>
      <x:c r="M478" s="25" t="n">
        <x:v>535</x:v>
      </x:c>
      <x:c r="N478" s="25" t="n">
        <x:v>488</x:v>
      </x:c>
      <x:c r="O478" s="25" t="n">
        <x:v>380</x:v>
      </x:c>
      <x:c r="P478" s="25" t="n">
        <x:f>L478+N478</x:f>
        <x:v>1520</x:v>
      </x:c>
      <x:c r="Q478" s="25" t="n">
        <x:f>M478+O478</x:f>
        <x:v>915</x:v>
      </x:c>
      <x:c r="R478" s="25" t="n">
        <x:f>MAX(0,MIN(J478,P478)-MAX(F478,L478))</x:f>
        <x:v>0</x:v>
      </x:c>
      <x:c r="S478" s="25" t="n">
        <x:f>MAX(0,MIN(K478,Q478)-MAX(G478,M478))</x:f>
        <x:v>380</x:v>
      </x:c>
      <x:c r="T478" s="25" t="n">
        <x:f>R478*S478</x:f>
        <x:v>0</x:v>
      </x:c>
      <x:c r="U478" s="24" t="str">
        <x:f>IF(T478&gt;0,"ERREUR chevauchement","OK aucun chevauchement")</x:f>
        <x:v>OK aucun chevauchement</x:v>
      </x:c>
      <x:c r="V478" s="24" t="str">
        <x:v>OK aucun chevauchement</x:v>
      </x:c>
      <x:c r="W478" s="24" t="str">
        <x:v>Si ERREUR : déplacer/redimensionner l’objet B ou créer un bookmark/masquage</x:v>
      </x:c>
    </x:row>
    <x:row r="479">
      <x:c r="A479" s="24" t="str">
        <x:v>Affaires</x:v>
      </x:c>
      <x:c r="B479" s="24" t="str">
        <x:v>G04_Month_Compare</x:v>
      </x:c>
      <x:c r="C479" s="24" t="str">
        <x:v>Bloc_Comparaison_Mois</x:v>
      </x:c>
      <x:c r="D479" s="24" t="str">
        <x:v>G05_Budget_Gauges</x:v>
      </x:c>
      <x:c r="E479" s="24" t="str">
        <x:v>Budget_Gauge_Row</x:v>
      </x:c>
      <x:c r="F479" s="25" t="n">
        <x:v>20</x:v>
      </x:c>
      <x:c r="G479" s="25" t="n">
        <x:v>530</x:v>
      </x:c>
      <x:c r="H479" s="25" t="n">
        <x:v>1500</x:v>
      </x:c>
      <x:c r="I479" s="25" t="n">
        <x:v>230</x:v>
      </x:c>
      <x:c r="J479" s="25" t="n">
        <x:f>F479+H479</x:f>
        <x:v>1520</x:v>
      </x:c>
      <x:c r="K479" s="25" t="n">
        <x:f>G479+I479</x:f>
        <x:v>760</x:v>
      </x:c>
      <x:c r="L479" s="25" t="n">
        <x:v>20</x:v>
      </x:c>
      <x:c r="M479" s="25" t="n">
        <x:v>780</x:v>
      </x:c>
      <x:c r="N479" s="25" t="n">
        <x:v>1500</x:v>
      </x:c>
      <x:c r="O479" s="25" t="n">
        <x:v>132</x:v>
      </x:c>
      <x:c r="P479" s="25" t="n">
        <x:f>L479+N479</x:f>
        <x:v>1520</x:v>
      </x:c>
      <x:c r="Q479" s="25" t="n">
        <x:f>M479+O479</x:f>
        <x:v>912</x:v>
      </x:c>
      <x:c r="R479" s="25" t="n">
        <x:f>MAX(0,MIN(J479,P479)-MAX(F479,L479))</x:f>
        <x:v>1500</x:v>
      </x:c>
      <x:c r="S479" s="25" t="n">
        <x:f>MAX(0,MIN(K479,Q479)-MAX(G479,M479))</x:f>
        <x:v>0</x:v>
      </x:c>
      <x:c r="T479" s="25" t="n">
        <x:f>R479*S479</x:f>
        <x:v>0</x:v>
      </x:c>
      <x:c r="U479" s="24" t="str">
        <x:f>IF(T479&gt;0,"ERREUR chevauchement","OK aucun chevauchement")</x:f>
        <x:v>OK aucun chevauchement</x:v>
      </x:c>
      <x:c r="V479" s="24" t="str">
        <x:v>OK aucun chevauchement</x:v>
      </x:c>
      <x:c r="W479" s="24" t="str">
        <x:v>Si ERREUR : déplacer/redimensionner l’objet B ou créer un bookmark/masquage</x:v>
      </x:c>
    </x:row>
    <x:row r="480">
      <x:c r="A480" s="24" t="str">
        <x:v>Affaires</x:v>
      </x:c>
      <x:c r="B480" s="24" t="str">
        <x:v>G04_Month_Compare</x:v>
      </x:c>
      <x:c r="C480" s="24" t="str">
        <x:v>Bloc_Comparaison_Mois</x:v>
      </x:c>
      <x:c r="D480" s="24" t="str">
        <x:v>G06_Charts</x:v>
      </x:c>
      <x:c r="E480" s="24" t="str">
        <x:v>Line_Volume</x:v>
      </x:c>
      <x:c r="F480" s="25" t="n">
        <x:v>20</x:v>
      </x:c>
      <x:c r="G480" s="25" t="n">
        <x:v>530</x:v>
      </x:c>
      <x:c r="H480" s="25" t="n">
        <x:v>1500</x:v>
      </x:c>
      <x:c r="I480" s="25" t="n">
        <x:v>230</x:v>
      </x:c>
      <x:c r="J480" s="25" t="n">
        <x:f>F480+H480</x:f>
        <x:v>1520</x:v>
      </x:c>
      <x:c r="K480" s="25" t="n">
        <x:f>G480+I480</x:f>
        <x:v>760</x:v>
      </x:c>
      <x:c r="L480" s="25" t="n">
        <x:v>20</x:v>
      </x:c>
      <x:c r="M480" s="25" t="n">
        <x:v>932</x:v>
      </x:c>
      <x:c r="N480" s="25" t="n">
        <x:v>742</x:v>
      </x:c>
      <x:c r="O480" s="25" t="n">
        <x:v>360</x:v>
      </x:c>
      <x:c r="P480" s="25" t="n">
        <x:f>L480+N480</x:f>
        <x:v>762</x:v>
      </x:c>
      <x:c r="Q480" s="25" t="n">
        <x:f>M480+O480</x:f>
        <x:v>1292</x:v>
      </x:c>
      <x:c r="R480" s="25" t="n">
        <x:f>MAX(0,MIN(J480,P480)-MAX(F480,L480))</x:f>
        <x:v>742</x:v>
      </x:c>
      <x:c r="S480" s="25" t="n">
        <x:f>MAX(0,MIN(K480,Q480)-MAX(G480,M480))</x:f>
        <x:v>0</x:v>
      </x:c>
      <x:c r="T480" s="25" t="n">
        <x:f>R480*S480</x:f>
        <x:v>0</x:v>
      </x:c>
      <x:c r="U480" s="24" t="str">
        <x:f>IF(T480&gt;0,"ERREUR chevauchement","OK aucun chevauchement")</x:f>
        <x:v>OK aucun chevauchement</x:v>
      </x:c>
      <x:c r="V480" s="24" t="str">
        <x:v>OK aucun chevauchement</x:v>
      </x:c>
      <x:c r="W480" s="24" t="str">
        <x:v>Si ERREUR : déplacer/redimensionner l’objet B ou créer un bookmark/masquage</x:v>
      </x:c>
    </x:row>
    <x:row r="481">
      <x:c r="A481" s="24" t="str">
        <x:v>Affaires</x:v>
      </x:c>
      <x:c r="B481" s="24" t="str">
        <x:v>G04_Month_Compare</x:v>
      </x:c>
      <x:c r="C481" s="24" t="str">
        <x:v>Bloc_Comparaison_Mois</x:v>
      </x:c>
      <x:c r="D481" s="24" t="str">
        <x:v>G06_Charts</x:v>
      </x:c>
      <x:c r="E481" s="24" t="str">
        <x:v>Bar_Axes_Affaires</x:v>
      </x:c>
      <x:c r="F481" s="25" t="n">
        <x:v>20</x:v>
      </x:c>
      <x:c r="G481" s="25" t="n">
        <x:v>530</x:v>
      </x:c>
      <x:c r="H481" s="25" t="n">
        <x:v>1500</x:v>
      </x:c>
      <x:c r="I481" s="25" t="n">
        <x:v>230</x:v>
      </x:c>
      <x:c r="J481" s="25" t="n">
        <x:f>F481+H481</x:f>
        <x:v>1520</x:v>
      </x:c>
      <x:c r="K481" s="25" t="n">
        <x:f>G481+I481</x:f>
        <x:v>760</x:v>
      </x:c>
      <x:c r="L481" s="25" t="n">
        <x:v>778</x:v>
      </x:c>
      <x:c r="M481" s="25" t="n">
        <x:v>932</x:v>
      </x:c>
      <x:c r="N481" s="25" t="n">
        <x:v>742</x:v>
      </x:c>
      <x:c r="O481" s="25" t="n">
        <x:v>360</x:v>
      </x:c>
      <x:c r="P481" s="25" t="n">
        <x:f>L481+N481</x:f>
        <x:v>1520</x:v>
      </x:c>
      <x:c r="Q481" s="25" t="n">
        <x:f>M481+O481</x:f>
        <x:v>1292</x:v>
      </x:c>
      <x:c r="R481" s="25" t="n">
        <x:f>MAX(0,MIN(J481,P481)-MAX(F481,L481))</x:f>
        <x:v>742</x:v>
      </x:c>
      <x:c r="S481" s="25" t="n">
        <x:f>MAX(0,MIN(K481,Q481)-MAX(G481,M481))</x:f>
        <x:v>0</x:v>
      </x:c>
      <x:c r="T481" s="25" t="n">
        <x:f>R481*S481</x:f>
        <x:v>0</x:v>
      </x:c>
      <x:c r="U481" s="24" t="str">
        <x:f>IF(T481&gt;0,"ERREUR chevauchement","OK aucun chevauchement")</x:f>
        <x:v>OK aucun chevauchement</x:v>
      </x:c>
      <x:c r="V481" s="24" t="str">
        <x:v>OK aucun chevauchement</x:v>
      </x:c>
      <x:c r="W481" s="24" t="str">
        <x:v>Si ERREUR : déplacer/redimensionner l’objet B ou créer un bookmark/masquage</x:v>
      </x:c>
    </x:row>
    <x:row r="482">
      <x:c r="A482" s="24" t="str">
        <x:v>Affaires</x:v>
      </x:c>
      <x:c r="B482" s="24" t="str">
        <x:v>G05_Budget_Gauges</x:v>
      </x:c>
      <x:c r="C482" s="24" t="str">
        <x:v>Budget_Gauge_Row</x:v>
      </x:c>
      <x:c r="D482" s="24" t="str">
        <x:v>G06_Charts</x:v>
      </x:c>
      <x:c r="E482" s="24" t="str">
        <x:v>Line_Volume</x:v>
      </x:c>
      <x:c r="F482" s="25" t="n">
        <x:v>20</x:v>
      </x:c>
      <x:c r="G482" s="25" t="n">
        <x:v>780</x:v>
      </x:c>
      <x:c r="H482" s="25" t="n">
        <x:v>1500</x:v>
      </x:c>
      <x:c r="I482" s="25" t="n">
        <x:v>132</x:v>
      </x:c>
      <x:c r="J482" s="25" t="n">
        <x:f>F482+H482</x:f>
        <x:v>1520</x:v>
      </x:c>
      <x:c r="K482" s="25" t="n">
        <x:f>G482+I482</x:f>
        <x:v>912</x:v>
      </x:c>
      <x:c r="L482" s="25" t="n">
        <x:v>20</x:v>
      </x:c>
      <x:c r="M482" s="25" t="n">
        <x:v>932</x:v>
      </x:c>
      <x:c r="N482" s="25" t="n">
        <x:v>742</x:v>
      </x:c>
      <x:c r="O482" s="25" t="n">
        <x:v>360</x:v>
      </x:c>
      <x:c r="P482" s="25" t="n">
        <x:f>L482+N482</x:f>
        <x:v>762</x:v>
      </x:c>
      <x:c r="Q482" s="25" t="n">
        <x:f>M482+O482</x:f>
        <x:v>1292</x:v>
      </x:c>
      <x:c r="R482" s="25" t="n">
        <x:f>MAX(0,MIN(J482,P482)-MAX(F482,L482))</x:f>
        <x:v>742</x:v>
      </x:c>
      <x:c r="S482" s="25" t="n">
        <x:f>MAX(0,MIN(K482,Q482)-MAX(G482,M482))</x:f>
        <x:v>0</x:v>
      </x:c>
      <x:c r="T482" s="25" t="n">
        <x:f>R482*S482</x:f>
        <x:v>0</x:v>
      </x:c>
      <x:c r="U482" s="24" t="str">
        <x:f>IF(T482&gt;0,"ERREUR chevauchement","OK aucun chevauchement")</x:f>
        <x:v>OK aucun chevauchement</x:v>
      </x:c>
      <x:c r="V482" s="24" t="str">
        <x:v>OK aucun chevauchement</x:v>
      </x:c>
      <x:c r="W482" s="24" t="str">
        <x:v>Si ERREUR : déplacer/redimensionner l’objet B ou créer un bookmark/masquage</x:v>
      </x:c>
    </x:row>
    <x:row r="483">
      <x:c r="A483" s="24" t="str">
        <x:v>Affaires</x:v>
      </x:c>
      <x:c r="B483" s="24" t="str">
        <x:v>G05_Budget_Gauges</x:v>
      </x:c>
      <x:c r="C483" s="24" t="str">
        <x:v>Budget_Gauge_Row</x:v>
      </x:c>
      <x:c r="D483" s="24" t="str">
        <x:v>G06_Charts</x:v>
      </x:c>
      <x:c r="E483" s="24" t="str">
        <x:v>Bar_Axes_Affaires</x:v>
      </x:c>
      <x:c r="F483" s="25" t="n">
        <x:v>20</x:v>
      </x:c>
      <x:c r="G483" s="25" t="n">
        <x:v>780</x:v>
      </x:c>
      <x:c r="H483" s="25" t="n">
        <x:v>1500</x:v>
      </x:c>
      <x:c r="I483" s="25" t="n">
        <x:v>132</x:v>
      </x:c>
      <x:c r="J483" s="25" t="n">
        <x:f>F483+H483</x:f>
        <x:v>1520</x:v>
      </x:c>
      <x:c r="K483" s="25" t="n">
        <x:f>G483+I483</x:f>
        <x:v>912</x:v>
      </x:c>
      <x:c r="L483" s="25" t="n">
        <x:v>778</x:v>
      </x:c>
      <x:c r="M483" s="25" t="n">
        <x:v>932</x:v>
      </x:c>
      <x:c r="N483" s="25" t="n">
        <x:v>742</x:v>
      </x:c>
      <x:c r="O483" s="25" t="n">
        <x:v>360</x:v>
      </x:c>
      <x:c r="P483" s="25" t="n">
        <x:f>L483+N483</x:f>
        <x:v>1520</x:v>
      </x:c>
      <x:c r="Q483" s="25" t="n">
        <x:f>M483+O483</x:f>
        <x:v>1292</x:v>
      </x:c>
      <x:c r="R483" s="25" t="n">
        <x:f>MAX(0,MIN(J483,P483)-MAX(F483,L483))</x:f>
        <x:v>742</x:v>
      </x:c>
      <x:c r="S483" s="25" t="n">
        <x:f>MAX(0,MIN(K483,Q483)-MAX(G483,M483))</x:f>
        <x:v>0</x:v>
      </x:c>
      <x:c r="T483" s="25" t="n">
        <x:f>R483*S483</x:f>
        <x:v>0</x:v>
      </x:c>
      <x:c r="U483" s="24" t="str">
        <x:f>IF(T483&gt;0,"ERREUR chevauchement","OK aucun chevauchement")</x:f>
        <x:v>OK aucun chevauchement</x:v>
      </x:c>
      <x:c r="V483" s="24" t="str">
        <x:v>OK aucun chevauchement</x:v>
      </x:c>
      <x:c r="W483" s="24" t="str">
        <x:v>Si ERREUR : déplacer/redimensionner l’objet B ou créer un bookmark/masquage</x:v>
      </x:c>
    </x:row>
    <x:row r="484">
      <x:c r="A484" s="24" t="str">
        <x:v>Affaires</x:v>
      </x:c>
      <x:c r="B484" s="24" t="str">
        <x:v>G06_Charts</x:v>
      </x:c>
      <x:c r="C484" s="24" t="str">
        <x:v>Line_Volume</x:v>
      </x:c>
      <x:c r="D484" s="24" t="str">
        <x:v>G06_Charts</x:v>
      </x:c>
      <x:c r="E484" s="24" t="str">
        <x:v>Bar_Axes_Affaires</x:v>
      </x:c>
      <x:c r="F484" s="25" t="n">
        <x:v>20</x:v>
      </x:c>
      <x:c r="G484" s="25" t="n">
        <x:v>932</x:v>
      </x:c>
      <x:c r="H484" s="25" t="n">
        <x:v>742</x:v>
      </x:c>
      <x:c r="I484" s="25" t="n">
        <x:v>360</x:v>
      </x:c>
      <x:c r="J484" s="25" t="n">
        <x:f>F484+H484</x:f>
        <x:v>762</x:v>
      </x:c>
      <x:c r="K484" s="25" t="n">
        <x:f>G484+I484</x:f>
        <x:v>1292</x:v>
      </x:c>
      <x:c r="L484" s="25" t="n">
        <x:v>778</x:v>
      </x:c>
      <x:c r="M484" s="25" t="n">
        <x:v>932</x:v>
      </x:c>
      <x:c r="N484" s="25" t="n">
        <x:v>742</x:v>
      </x:c>
      <x:c r="O484" s="25" t="n">
        <x:v>360</x:v>
      </x:c>
      <x:c r="P484" s="25" t="n">
        <x:f>L484+N484</x:f>
        <x:v>1520</x:v>
      </x:c>
      <x:c r="Q484" s="25" t="n">
        <x:f>M484+O484</x:f>
        <x:v>1292</x:v>
      </x:c>
      <x:c r="R484" s="25" t="n">
        <x:f>MAX(0,MIN(J484,P484)-MAX(F484,L484))</x:f>
        <x:v>0</x:v>
      </x:c>
      <x:c r="S484" s="25" t="n">
        <x:f>MAX(0,MIN(K484,Q484)-MAX(G484,M484))</x:f>
        <x:v>360</x:v>
      </x:c>
      <x:c r="T484" s="25" t="n">
        <x:f>R484*S484</x:f>
        <x:v>0</x:v>
      </x:c>
      <x:c r="U484" s="24" t="str">
        <x:f>IF(T484&gt;0,"ERREUR chevauchement","OK aucun chevauchement")</x:f>
        <x:v>OK aucun chevauchement</x:v>
      </x:c>
      <x:c r="V484" s="24" t="str">
        <x:v>OK aucun chevauchement</x:v>
      </x:c>
      <x:c r="W484" s="24" t="str">
        <x:v>Si ERREUR : déplacer/redimensionner l’objet B ou créer un bookmark/masquage</x:v>
      </x:c>
    </x:row>
    <x:row r="485">
      <x:c r="A485" s="24" t="str">
        <x:v>Réseau MIA</x:v>
      </x:c>
      <x:c r="B485" s="24" t="str">
        <x:v>G04_Map_Main</x:v>
      </x:c>
      <x:c r="C485" s="24" t="str">
        <x:v>Map_Carte_France</x:v>
      </x:c>
      <x:c r="D485" s="24" t="str">
        <x:v>G05_Right_Analytics</x:v>
      </x:c>
      <x:c r="E485" s="24" t="str">
        <x:v>Donut_CSP</x:v>
      </x:c>
      <x:c r="F485" s="25" t="n">
        <x:v>20</x:v>
      </x:c>
      <x:c r="G485" s="25" t="n">
        <x:v>535</x:v>
      </x:c>
      <x:c r="H485" s="25" t="n">
        <x:v>830</x:v>
      </x:c>
      <x:c r="I485" s="25" t="n">
        <x:v>560</x:v>
      </x:c>
      <x:c r="J485" s="25" t="n">
        <x:f>F485+H485</x:f>
        <x:v>850</x:v>
      </x:c>
      <x:c r="K485" s="25" t="n">
        <x:f>G485+I485</x:f>
        <x:v>1095</x:v>
      </x:c>
      <x:c r="L485" s="25" t="n">
        <x:v>866</x:v>
      </x:c>
      <x:c r="M485" s="25" t="n">
        <x:v>535</x:v>
      </x:c>
      <x:c r="N485" s="25" t="n">
        <x:v>316</x:v>
      </x:c>
      <x:c r="O485" s="25" t="n">
        <x:v>300</x:v>
      </x:c>
      <x:c r="P485" s="25" t="n">
        <x:f>L485+N485</x:f>
        <x:v>1182</x:v>
      </x:c>
      <x:c r="Q485" s="25" t="n">
        <x:f>M485+O485</x:f>
        <x:v>835</x:v>
      </x:c>
      <x:c r="R485" s="25" t="n">
        <x:f>MAX(0,MIN(J485,P485)-MAX(F485,L485))</x:f>
        <x:v>0</x:v>
      </x:c>
      <x:c r="S485" s="25" t="n">
        <x:f>MAX(0,MIN(K485,Q485)-MAX(G485,M485))</x:f>
        <x:v>300</x:v>
      </x:c>
      <x:c r="T485" s="25" t="n">
        <x:f>R485*S485</x:f>
        <x:v>0</x:v>
      </x:c>
      <x:c r="U485" s="24" t="str">
        <x:f>IF(T485&gt;0,"ERREUR chevauchement","OK aucun chevauchement")</x:f>
        <x:v>OK aucun chevauchement</x:v>
      </x:c>
      <x:c r="V485" s="24" t="str">
        <x:v>OK aucun chevauchement</x:v>
      </x:c>
      <x:c r="W485" s="24" t="str">
        <x:v>Si ERREUR : déplacer/redimensionner l’objet B ou créer un bookmark/masquage</x:v>
      </x:c>
    </x:row>
    <x:row r="486">
      <x:c r="A486" s="24" t="str">
        <x:v>Réseau MIA</x:v>
      </x:c>
      <x:c r="B486" s="24" t="str">
        <x:v>G04_Map_Main</x:v>
      </x:c>
      <x:c r="C486" s="24" t="str">
        <x:v>Map_Carte_France</x:v>
      </x:c>
      <x:c r="D486" s="24" t="str">
        <x:v>G05_Right_Analytics</x:v>
      </x:c>
      <x:c r="E486" s="24" t="str">
        <x:v>Donut_MIA</x:v>
      </x:c>
      <x:c r="F486" s="25" t="n">
        <x:v>20</x:v>
      </x:c>
      <x:c r="G486" s="25" t="n">
        <x:v>535</x:v>
      </x:c>
      <x:c r="H486" s="25" t="n">
        <x:v>830</x:v>
      </x:c>
      <x:c r="I486" s="25" t="n">
        <x:v>560</x:v>
      </x:c>
      <x:c r="J486" s="25" t="n">
        <x:f>F486+H486</x:f>
        <x:v>850</x:v>
      </x:c>
      <x:c r="K486" s="25" t="n">
        <x:f>G486+I486</x:f>
        <x:v>1095</x:v>
      </x:c>
      <x:c r="L486" s="25" t="n">
        <x:v>1198</x:v>
      </x:c>
      <x:c r="M486" s="25" t="n">
        <x:v>535</x:v>
      </x:c>
      <x:c r="N486" s="25" t="n">
        <x:v>322</x:v>
      </x:c>
      <x:c r="O486" s="25" t="n">
        <x:v>300</x:v>
      </x:c>
      <x:c r="P486" s="25" t="n">
        <x:f>L486+N486</x:f>
        <x:v>1520</x:v>
      </x:c>
      <x:c r="Q486" s="25" t="n">
        <x:f>M486+O486</x:f>
        <x:v>835</x:v>
      </x:c>
      <x:c r="R486" s="25" t="n">
        <x:f>MAX(0,MIN(J486,P486)-MAX(F486,L486))</x:f>
        <x:v>0</x:v>
      </x:c>
      <x:c r="S486" s="25" t="n">
        <x:f>MAX(0,MIN(K486,Q486)-MAX(G486,M486))</x:f>
        <x:v>300</x:v>
      </x:c>
      <x:c r="T486" s="25" t="n">
        <x:f>R486*S486</x:f>
        <x:v>0</x:v>
      </x:c>
      <x:c r="U486" s="24" t="str">
        <x:f>IF(T486&gt;0,"ERREUR chevauchement","OK aucun chevauchement")</x:f>
        <x:v>OK aucun chevauchement</x:v>
      </x:c>
      <x:c r="V486" s="24" t="str">
        <x:v>OK aucun chevauchement</x:v>
      </x:c>
      <x:c r="W486" s="24" t="str">
        <x:v>Si ERREUR : déplacer/redimensionner l’objet B ou créer un bookmark/masquage</x:v>
      </x:c>
    </x:row>
    <x:row r="487">
      <x:c r="A487" s="24" t="str">
        <x:v>Réseau MIA</x:v>
      </x:c>
      <x:c r="B487" s="24" t="str">
        <x:v>G04_Map_Main</x:v>
      </x:c>
      <x:c r="C487" s="24" t="str">
        <x:v>Map_Carte_France</x:v>
      </x:c>
      <x:c r="D487" s="24" t="str">
        <x:v>G05_Right_Analytics</x:v>
      </x:c>
      <x:c r="E487" s="24" t="str">
        <x:v>Tableau_Compact</x:v>
      </x:c>
      <x:c r="F487" s="25" t="n">
        <x:v>20</x:v>
      </x:c>
      <x:c r="G487" s="25" t="n">
        <x:v>535</x:v>
      </x:c>
      <x:c r="H487" s="25" t="n">
        <x:v>830</x:v>
      </x:c>
      <x:c r="I487" s="25" t="n">
        <x:v>560</x:v>
      </x:c>
      <x:c r="J487" s="25" t="n">
        <x:f>F487+H487</x:f>
        <x:v>850</x:v>
      </x:c>
      <x:c r="K487" s="25" t="n">
        <x:f>G487+I487</x:f>
        <x:v>1095</x:v>
      </x:c>
      <x:c r="L487" s="25" t="n">
        <x:v>866</x:v>
      </x:c>
      <x:c r="M487" s="25" t="n">
        <x:v>851</x:v>
      </x:c>
      <x:c r="N487" s="25" t="n">
        <x:v>654</x:v>
      </x:c>
      <x:c r="O487" s="25" t="n">
        <x:v>230</x:v>
      </x:c>
      <x:c r="P487" s="25" t="n">
        <x:f>L487+N487</x:f>
        <x:v>1520</x:v>
      </x:c>
      <x:c r="Q487" s="25" t="n">
        <x:f>M487+O487</x:f>
        <x:v>1081</x:v>
      </x:c>
      <x:c r="R487" s="25" t="n">
        <x:f>MAX(0,MIN(J487,P487)-MAX(F487,L487))</x:f>
        <x:v>0</x:v>
      </x:c>
      <x:c r="S487" s="25" t="n">
        <x:f>MAX(0,MIN(K487,Q487)-MAX(G487,M487))</x:f>
        <x:v>230</x:v>
      </x:c>
      <x:c r="T487" s="25" t="n">
        <x:f>R487*S487</x:f>
        <x:v>0</x:v>
      </x:c>
      <x:c r="U487" s="24" t="str">
        <x:f>IF(T487&gt;0,"ERREUR chevauchement","OK aucun chevauchement")</x:f>
        <x:v>OK aucun chevauchement</x:v>
      </x:c>
      <x:c r="V487" s="24" t="str">
        <x:v>OK aucun chevauchement</x:v>
      </x:c>
      <x:c r="W487" s="24" t="str">
        <x:v>Si ERREUR : déplacer/redimensionner l’objet B ou créer un bookmark/masquage</x:v>
      </x:c>
    </x:row>
    <x:row r="488">
      <x:c r="A488" s="24" t="str">
        <x:v>Réseau MIA</x:v>
      </x:c>
      <x:c r="B488" s="24" t="str">
        <x:v>G04_Map_Main</x:v>
      </x:c>
      <x:c r="C488" s="24" t="str">
        <x:v>Map_Carte_France</x:v>
      </x:c>
      <x:c r="D488" s="24" t="str">
        <x:v>G05_Right_Analytics</x:v>
      </x:c>
      <x:c r="E488" s="24" t="str">
        <x:v>Bar_MIA_Productifs</x:v>
      </x:c>
      <x:c r="F488" s="25" t="n">
        <x:v>20</x:v>
      </x:c>
      <x:c r="G488" s="25" t="n">
        <x:v>535</x:v>
      </x:c>
      <x:c r="H488" s="25" t="n">
        <x:v>830</x:v>
      </x:c>
      <x:c r="I488" s="25" t="n">
        <x:v>560</x:v>
      </x:c>
      <x:c r="J488" s="25" t="n">
        <x:f>F488+H488</x:f>
        <x:v>850</x:v>
      </x:c>
      <x:c r="K488" s="25" t="n">
        <x:f>G488+I488</x:f>
        <x:v>1095</x:v>
      </x:c>
      <x:c r="L488" s="25" t="n">
        <x:v>866</x:v>
      </x:c>
      <x:c r="M488" s="25" t="n">
        <x:v>1097</x:v>
      </x:c>
      <x:c r="N488" s="25" t="n">
        <x:v>654</x:v>
      </x:c>
      <x:c r="O488" s="25" t="n">
        <x:v>300</x:v>
      </x:c>
      <x:c r="P488" s="25" t="n">
        <x:f>L488+N488</x:f>
        <x:v>1520</x:v>
      </x:c>
      <x:c r="Q488" s="25" t="n">
        <x:f>M488+O488</x:f>
        <x:v>1397</x:v>
      </x:c>
      <x:c r="R488" s="25" t="n">
        <x:f>MAX(0,MIN(J488,P488)-MAX(F488,L488))</x:f>
        <x:v>0</x:v>
      </x:c>
      <x:c r="S488" s="25" t="n">
        <x:f>MAX(0,MIN(K488,Q488)-MAX(G488,M488))</x:f>
        <x:v>0</x:v>
      </x:c>
      <x:c r="T488" s="25" t="n">
        <x:f>R488*S488</x:f>
        <x:v>0</x:v>
      </x:c>
      <x:c r="U488" s="24" t="str">
        <x:f>IF(T488&gt;0,"ERREUR chevauchement","OK aucun chevauchement")</x:f>
        <x:v>OK aucun chevauchement</x:v>
      </x:c>
      <x:c r="V488" s="24" t="str">
        <x:v>OK aucun chevauchement</x:v>
      </x:c>
      <x:c r="W488" s="24" t="str">
        <x:v>Si ERREUR : déplacer/redimensionner l’objet B ou créer un bookmark/masquage</x:v>
      </x:c>
    </x:row>
    <x:row r="489">
      <x:c r="A489" s="24" t="str">
        <x:v>Réseau MIA</x:v>
      </x:c>
      <x:c r="B489" s="24" t="str">
        <x:v>G05_Right_Analytics</x:v>
      </x:c>
      <x:c r="C489" s="24" t="str">
        <x:v>Donut_CSP</x:v>
      </x:c>
      <x:c r="D489" s="24" t="str">
        <x:v>G05_Right_Analytics</x:v>
      </x:c>
      <x:c r="E489" s="24" t="str">
        <x:v>Donut_MIA</x:v>
      </x:c>
      <x:c r="F489" s="25" t="n">
        <x:v>866</x:v>
      </x:c>
      <x:c r="G489" s="25" t="n">
        <x:v>535</x:v>
      </x:c>
      <x:c r="H489" s="25" t="n">
        <x:v>316</x:v>
      </x:c>
      <x:c r="I489" s="25" t="n">
        <x:v>300</x:v>
      </x:c>
      <x:c r="J489" s="25" t="n">
        <x:f>F489+H489</x:f>
        <x:v>1182</x:v>
      </x:c>
      <x:c r="K489" s="25" t="n">
        <x:f>G489+I489</x:f>
        <x:v>835</x:v>
      </x:c>
      <x:c r="L489" s="25" t="n">
        <x:v>1198</x:v>
      </x:c>
      <x:c r="M489" s="25" t="n">
        <x:v>535</x:v>
      </x:c>
      <x:c r="N489" s="25" t="n">
        <x:v>322</x:v>
      </x:c>
      <x:c r="O489" s="25" t="n">
        <x:v>300</x:v>
      </x:c>
      <x:c r="P489" s="25" t="n">
        <x:f>L489+N489</x:f>
        <x:v>1520</x:v>
      </x:c>
      <x:c r="Q489" s="25" t="n">
        <x:f>M489+O489</x:f>
        <x:v>835</x:v>
      </x:c>
      <x:c r="R489" s="25" t="n">
        <x:f>MAX(0,MIN(J489,P489)-MAX(F489,L489))</x:f>
        <x:v>0</x:v>
      </x:c>
      <x:c r="S489" s="25" t="n">
        <x:f>MAX(0,MIN(K489,Q489)-MAX(G489,M489))</x:f>
        <x:v>300</x:v>
      </x:c>
      <x:c r="T489" s="25" t="n">
        <x:f>R489*S489</x:f>
        <x:v>0</x:v>
      </x:c>
      <x:c r="U489" s="24" t="str">
        <x:f>IF(T489&gt;0,"ERREUR chevauchement","OK aucun chevauchement")</x:f>
        <x:v>OK aucun chevauchement</x:v>
      </x:c>
      <x:c r="V489" s="24" t="str">
        <x:v>OK aucun chevauchement</x:v>
      </x:c>
      <x:c r="W489" s="24" t="str">
        <x:v>Si ERREUR : déplacer/redimensionner l’objet B ou créer un bookmark/masquage</x:v>
      </x:c>
    </x:row>
    <x:row r="490">
      <x:c r="A490" s="24" t="str">
        <x:v>Réseau MIA</x:v>
      </x:c>
      <x:c r="B490" s="24" t="str">
        <x:v>G05_Right_Analytics</x:v>
      </x:c>
      <x:c r="C490" s="24" t="str">
        <x:v>Donut_CSP</x:v>
      </x:c>
      <x:c r="D490" s="24" t="str">
        <x:v>G05_Right_Analytics</x:v>
      </x:c>
      <x:c r="E490" s="24" t="str">
        <x:v>Tableau_Compact</x:v>
      </x:c>
      <x:c r="F490" s="25" t="n">
        <x:v>866</x:v>
      </x:c>
      <x:c r="G490" s="25" t="n">
        <x:v>535</x:v>
      </x:c>
      <x:c r="H490" s="25" t="n">
        <x:v>316</x:v>
      </x:c>
      <x:c r="I490" s="25" t="n">
        <x:v>300</x:v>
      </x:c>
      <x:c r="J490" s="25" t="n">
        <x:f>F490+H490</x:f>
        <x:v>1182</x:v>
      </x:c>
      <x:c r="K490" s="25" t="n">
        <x:f>G490+I490</x:f>
        <x:v>835</x:v>
      </x:c>
      <x:c r="L490" s="25" t="n">
        <x:v>866</x:v>
      </x:c>
      <x:c r="M490" s="25" t="n">
        <x:v>851</x:v>
      </x:c>
      <x:c r="N490" s="25" t="n">
        <x:v>654</x:v>
      </x:c>
      <x:c r="O490" s="25" t="n">
        <x:v>230</x:v>
      </x:c>
      <x:c r="P490" s="25" t="n">
        <x:f>L490+N490</x:f>
        <x:v>1520</x:v>
      </x:c>
      <x:c r="Q490" s="25" t="n">
        <x:f>M490+O490</x:f>
        <x:v>1081</x:v>
      </x:c>
      <x:c r="R490" s="25" t="n">
        <x:f>MAX(0,MIN(J490,P490)-MAX(F490,L490))</x:f>
        <x:v>316</x:v>
      </x:c>
      <x:c r="S490" s="25" t="n">
        <x:f>MAX(0,MIN(K490,Q490)-MAX(G490,M490))</x:f>
        <x:v>0</x:v>
      </x:c>
      <x:c r="T490" s="25" t="n">
        <x:f>R490*S490</x:f>
        <x:v>0</x:v>
      </x:c>
      <x:c r="U490" s="24" t="str">
        <x:f>IF(T490&gt;0,"ERREUR chevauchement","OK aucun chevauchement")</x:f>
        <x:v>OK aucun chevauchement</x:v>
      </x:c>
      <x:c r="V490" s="24" t="str">
        <x:v>OK aucun chevauchement</x:v>
      </x:c>
      <x:c r="W490" s="24" t="str">
        <x:v>Si ERREUR : déplacer/redimensionner l’objet B ou créer un bookmark/masquage</x:v>
      </x:c>
    </x:row>
    <x:row r="491">
      <x:c r="A491" s="24" t="str">
        <x:v>Réseau MIA</x:v>
      </x:c>
      <x:c r="B491" s="24" t="str">
        <x:v>G05_Right_Analytics</x:v>
      </x:c>
      <x:c r="C491" s="24" t="str">
        <x:v>Donut_CSP</x:v>
      </x:c>
      <x:c r="D491" s="24" t="str">
        <x:v>G05_Right_Analytics</x:v>
      </x:c>
      <x:c r="E491" s="24" t="str">
        <x:v>Bar_MIA_Productifs</x:v>
      </x:c>
      <x:c r="F491" s="25" t="n">
        <x:v>866</x:v>
      </x:c>
      <x:c r="G491" s="25" t="n">
        <x:v>535</x:v>
      </x:c>
      <x:c r="H491" s="25" t="n">
        <x:v>316</x:v>
      </x:c>
      <x:c r="I491" s="25" t="n">
        <x:v>300</x:v>
      </x:c>
      <x:c r="J491" s="25" t="n">
        <x:f>F491+H491</x:f>
        <x:v>1182</x:v>
      </x:c>
      <x:c r="K491" s="25" t="n">
        <x:f>G491+I491</x:f>
        <x:v>835</x:v>
      </x:c>
      <x:c r="L491" s="25" t="n">
        <x:v>866</x:v>
      </x:c>
      <x:c r="M491" s="25" t="n">
        <x:v>1097</x:v>
      </x:c>
      <x:c r="N491" s="25" t="n">
        <x:v>654</x:v>
      </x:c>
      <x:c r="O491" s="25" t="n">
        <x:v>300</x:v>
      </x:c>
      <x:c r="P491" s="25" t="n">
        <x:f>L491+N491</x:f>
        <x:v>1520</x:v>
      </x:c>
      <x:c r="Q491" s="25" t="n">
        <x:f>M491+O491</x:f>
        <x:v>1397</x:v>
      </x:c>
      <x:c r="R491" s="25" t="n">
        <x:f>MAX(0,MIN(J491,P491)-MAX(F491,L491))</x:f>
        <x:v>316</x:v>
      </x:c>
      <x:c r="S491" s="25" t="n">
        <x:f>MAX(0,MIN(K491,Q491)-MAX(G491,M491))</x:f>
        <x:v>0</x:v>
      </x:c>
      <x:c r="T491" s="25" t="n">
        <x:f>R491*S491</x:f>
        <x:v>0</x:v>
      </x:c>
      <x:c r="U491" s="24" t="str">
        <x:f>IF(T491&gt;0,"ERREUR chevauchement","OK aucun chevauchement")</x:f>
        <x:v>OK aucun chevauchement</x:v>
      </x:c>
      <x:c r="V491" s="24" t="str">
        <x:v>OK aucun chevauchement</x:v>
      </x:c>
      <x:c r="W491" s="24" t="str">
        <x:v>Si ERREUR : déplacer/redimensionner l’objet B ou créer un bookmark/masquage</x:v>
      </x:c>
    </x:row>
    <x:row r="492">
      <x:c r="A492" s="24" t="str">
        <x:v>Réseau MIA</x:v>
      </x:c>
      <x:c r="B492" s="24" t="str">
        <x:v>G05_Right_Analytics</x:v>
      </x:c>
      <x:c r="C492" s="24" t="str">
        <x:v>Donut_MIA</x:v>
      </x:c>
      <x:c r="D492" s="24" t="str">
        <x:v>G05_Right_Analytics</x:v>
      </x:c>
      <x:c r="E492" s="24" t="str">
        <x:v>Tableau_Compact</x:v>
      </x:c>
      <x:c r="F492" s="25" t="n">
        <x:v>1198</x:v>
      </x:c>
      <x:c r="G492" s="25" t="n">
        <x:v>535</x:v>
      </x:c>
      <x:c r="H492" s="25" t="n">
        <x:v>322</x:v>
      </x:c>
      <x:c r="I492" s="25" t="n">
        <x:v>300</x:v>
      </x:c>
      <x:c r="J492" s="25" t="n">
        <x:f>F492+H492</x:f>
        <x:v>1520</x:v>
      </x:c>
      <x:c r="K492" s="25" t="n">
        <x:f>G492+I492</x:f>
        <x:v>835</x:v>
      </x:c>
      <x:c r="L492" s="25" t="n">
        <x:v>866</x:v>
      </x:c>
      <x:c r="M492" s="25" t="n">
        <x:v>851</x:v>
      </x:c>
      <x:c r="N492" s="25" t="n">
        <x:v>654</x:v>
      </x:c>
      <x:c r="O492" s="25" t="n">
        <x:v>230</x:v>
      </x:c>
      <x:c r="P492" s="25" t="n">
        <x:f>L492+N492</x:f>
        <x:v>1520</x:v>
      </x:c>
      <x:c r="Q492" s="25" t="n">
        <x:f>M492+O492</x:f>
        <x:v>1081</x:v>
      </x:c>
      <x:c r="R492" s="25" t="n">
        <x:f>MAX(0,MIN(J492,P492)-MAX(F492,L492))</x:f>
        <x:v>322</x:v>
      </x:c>
      <x:c r="S492" s="25" t="n">
        <x:f>MAX(0,MIN(K492,Q492)-MAX(G492,M492))</x:f>
        <x:v>0</x:v>
      </x:c>
      <x:c r="T492" s="25" t="n">
        <x:f>R492*S492</x:f>
        <x:v>0</x:v>
      </x:c>
      <x:c r="U492" s="24" t="str">
        <x:f>IF(T492&gt;0,"ERREUR chevauchement","OK aucun chevauchement")</x:f>
        <x:v>OK aucun chevauchement</x:v>
      </x:c>
      <x:c r="V492" s="24" t="str">
        <x:v>OK aucun chevauchement</x:v>
      </x:c>
      <x:c r="W492" s="24" t="str">
        <x:v>Si ERREUR : déplacer/redimensionner l’objet B ou créer un bookmark/masquage</x:v>
      </x:c>
    </x:row>
    <x:row r="493">
      <x:c r="A493" s="24" t="str">
        <x:v>Réseau MIA</x:v>
      </x:c>
      <x:c r="B493" s="24" t="str">
        <x:v>G05_Right_Analytics</x:v>
      </x:c>
      <x:c r="C493" s="24" t="str">
        <x:v>Donut_MIA</x:v>
      </x:c>
      <x:c r="D493" s="24" t="str">
        <x:v>G05_Right_Analytics</x:v>
      </x:c>
      <x:c r="E493" s="24" t="str">
        <x:v>Bar_MIA_Productifs</x:v>
      </x:c>
      <x:c r="F493" s="25" t="n">
        <x:v>1198</x:v>
      </x:c>
      <x:c r="G493" s="25" t="n">
        <x:v>535</x:v>
      </x:c>
      <x:c r="H493" s="25" t="n">
        <x:v>322</x:v>
      </x:c>
      <x:c r="I493" s="25" t="n">
        <x:v>300</x:v>
      </x:c>
      <x:c r="J493" s="25" t="n">
        <x:f>F493+H493</x:f>
        <x:v>1520</x:v>
      </x:c>
      <x:c r="K493" s="25" t="n">
        <x:f>G493+I493</x:f>
        <x:v>835</x:v>
      </x:c>
      <x:c r="L493" s="25" t="n">
        <x:v>866</x:v>
      </x:c>
      <x:c r="M493" s="25" t="n">
        <x:v>1097</x:v>
      </x:c>
      <x:c r="N493" s="25" t="n">
        <x:v>654</x:v>
      </x:c>
      <x:c r="O493" s="25" t="n">
        <x:v>300</x:v>
      </x:c>
      <x:c r="P493" s="25" t="n">
        <x:f>L493+N493</x:f>
        <x:v>1520</x:v>
      </x:c>
      <x:c r="Q493" s="25" t="n">
        <x:f>M493+O493</x:f>
        <x:v>1397</x:v>
      </x:c>
      <x:c r="R493" s="25" t="n">
        <x:f>MAX(0,MIN(J493,P493)-MAX(F493,L493))</x:f>
        <x:v>322</x:v>
      </x:c>
      <x:c r="S493" s="25" t="n">
        <x:f>MAX(0,MIN(K493,Q493)-MAX(G493,M493))</x:f>
        <x:v>0</x:v>
      </x:c>
      <x:c r="T493" s="25" t="n">
        <x:f>R493*S493</x:f>
        <x:v>0</x:v>
      </x:c>
      <x:c r="U493" s="24" t="str">
        <x:f>IF(T493&gt;0,"ERREUR chevauchement","OK aucun chevauchement")</x:f>
        <x:v>OK aucun chevauchement</x:v>
      </x:c>
      <x:c r="V493" s="24" t="str">
        <x:v>OK aucun chevauchement</x:v>
      </x:c>
      <x:c r="W493" s="24" t="str">
        <x:v>Si ERREUR : déplacer/redimensionner l’objet B ou créer un bookmark/masquage</x:v>
      </x:c>
    </x:row>
    <x:row r="494">
      <x:c r="A494" s="24" t="str">
        <x:v>Réseau MIA</x:v>
      </x:c>
      <x:c r="B494" s="24" t="str">
        <x:v>G05_Right_Analytics</x:v>
      </x:c>
      <x:c r="C494" s="24" t="str">
        <x:v>Tableau_Compact</x:v>
      </x:c>
      <x:c r="D494" s="24" t="str">
        <x:v>G05_Right_Analytics</x:v>
      </x:c>
      <x:c r="E494" s="24" t="str">
        <x:v>Bar_MIA_Productifs</x:v>
      </x:c>
      <x:c r="F494" s="25" t="n">
        <x:v>866</x:v>
      </x:c>
      <x:c r="G494" s="25" t="n">
        <x:v>851</x:v>
      </x:c>
      <x:c r="H494" s="25" t="n">
        <x:v>654</x:v>
      </x:c>
      <x:c r="I494" s="25" t="n">
        <x:v>230</x:v>
      </x:c>
      <x:c r="J494" s="25" t="n">
        <x:f>F494+H494</x:f>
        <x:v>1520</x:v>
      </x:c>
      <x:c r="K494" s="25" t="n">
        <x:f>G494+I494</x:f>
        <x:v>1081</x:v>
      </x:c>
      <x:c r="L494" s="25" t="n">
        <x:v>866</x:v>
      </x:c>
      <x:c r="M494" s="25" t="n">
        <x:v>1097</x:v>
      </x:c>
      <x:c r="N494" s="25" t="n">
        <x:v>654</x:v>
      </x:c>
      <x:c r="O494" s="25" t="n">
        <x:v>300</x:v>
      </x:c>
      <x:c r="P494" s="25" t="n">
        <x:f>L494+N494</x:f>
        <x:v>1520</x:v>
      </x:c>
      <x:c r="Q494" s="25" t="n">
        <x:f>M494+O494</x:f>
        <x:v>1397</x:v>
      </x:c>
      <x:c r="R494" s="25" t="n">
        <x:f>MAX(0,MIN(J494,P494)-MAX(F494,L494))</x:f>
        <x:v>654</x:v>
      </x:c>
      <x:c r="S494" s="25" t="n">
        <x:f>MAX(0,MIN(K494,Q494)-MAX(G494,M494))</x:f>
        <x:v>0</x:v>
      </x:c>
      <x:c r="T494" s="25" t="n">
        <x:f>R494*S494</x:f>
        <x:v>0</x:v>
      </x:c>
      <x:c r="U494" s="24" t="str">
        <x:f>IF(T494&gt;0,"ERREUR chevauchement","OK aucun chevauchement")</x:f>
        <x:v>OK aucun chevauchement</x:v>
      </x:c>
      <x:c r="V494" s="24" t="str">
        <x:v>OK aucun chevauchement</x:v>
      </x:c>
      <x:c r="W494" s="24" t="str">
        <x:v>Si ERREUR : déplacer/redimensionner l’objet B ou créer un bookmark/masquage</x:v>
      </x:c>
    </x:row>
    <x:row r="495">
      <x:c r="A495" s="24" t="str">
        <x:v>Réseau MIA Tableau</x:v>
      </x:c>
      <x:c r="B495" s="24" t="str">
        <x:v>G04_Map_Main</x:v>
      </x:c>
      <x:c r="C495" s="24" t="str">
        <x:v>Map_Carte_France</x:v>
      </x:c>
      <x:c r="D495" s="24" t="str">
        <x:v>G05_Right_Analytics</x:v>
      </x:c>
      <x:c r="E495" s="24" t="str">
        <x:v>Donut_CSP</x:v>
      </x:c>
      <x:c r="F495" s="25" t="n">
        <x:v>20</x:v>
      </x:c>
      <x:c r="G495" s="25" t="n">
        <x:v>535</x:v>
      </x:c>
      <x:c r="H495" s="25" t="n">
        <x:v>830</x:v>
      </x:c>
      <x:c r="I495" s="25" t="n">
        <x:v>560</x:v>
      </x:c>
      <x:c r="J495" s="25" t="n">
        <x:f>F495+H495</x:f>
        <x:v>850</x:v>
      </x:c>
      <x:c r="K495" s="25" t="n">
        <x:f>G495+I495</x:f>
        <x:v>1095</x:v>
      </x:c>
      <x:c r="L495" s="25" t="n">
        <x:v>866</x:v>
      </x:c>
      <x:c r="M495" s="25" t="n">
        <x:v>535</x:v>
      </x:c>
      <x:c r="N495" s="25" t="n">
        <x:v>316</x:v>
      </x:c>
      <x:c r="O495" s="25" t="n">
        <x:v>300</x:v>
      </x:c>
      <x:c r="P495" s="25" t="n">
        <x:f>L495+N495</x:f>
        <x:v>1182</x:v>
      </x:c>
      <x:c r="Q495" s="25" t="n">
        <x:f>M495+O495</x:f>
        <x:v>835</x:v>
      </x:c>
      <x:c r="R495" s="25" t="n">
        <x:f>MAX(0,MIN(J495,P495)-MAX(F495,L495))</x:f>
        <x:v>0</x:v>
      </x:c>
      <x:c r="S495" s="25" t="n">
        <x:f>MAX(0,MIN(K495,Q495)-MAX(G495,M495))</x:f>
        <x:v>300</x:v>
      </x:c>
      <x:c r="T495" s="25" t="n">
        <x:f>R495*S495</x:f>
        <x:v>0</x:v>
      </x:c>
      <x:c r="U495" s="24" t="str">
        <x:f>IF(T495&gt;0,"ERREUR chevauchement","OK aucun chevauchement")</x:f>
        <x:v>OK aucun chevauchement</x:v>
      </x:c>
      <x:c r="V495" s="24" t="str">
        <x:v>OK aucun chevauchement</x:v>
      </x:c>
      <x:c r="W495" s="24" t="str">
        <x:v>Si ERREUR : déplacer/redimensionner l’objet B ou créer un bookmark/masquage</x:v>
      </x:c>
    </x:row>
    <x:row r="496">
      <x:c r="A496" s="24" t="str">
        <x:v>Réseau MIA Tableau</x:v>
      </x:c>
      <x:c r="B496" s="24" t="str">
        <x:v>G04_Map_Main</x:v>
      </x:c>
      <x:c r="C496" s="24" t="str">
        <x:v>Map_Carte_France</x:v>
      </x:c>
      <x:c r="D496" s="24" t="str">
        <x:v>G05_Right_Analytics</x:v>
      </x:c>
      <x:c r="E496" s="24" t="str">
        <x:v>Donut_MIA</x:v>
      </x:c>
      <x:c r="F496" s="25" t="n">
        <x:v>20</x:v>
      </x:c>
      <x:c r="G496" s="25" t="n">
        <x:v>535</x:v>
      </x:c>
      <x:c r="H496" s="25" t="n">
        <x:v>830</x:v>
      </x:c>
      <x:c r="I496" s="25" t="n">
        <x:v>560</x:v>
      </x:c>
      <x:c r="J496" s="25" t="n">
        <x:f>F496+H496</x:f>
        <x:v>850</x:v>
      </x:c>
      <x:c r="K496" s="25" t="n">
        <x:f>G496+I496</x:f>
        <x:v>1095</x:v>
      </x:c>
      <x:c r="L496" s="25" t="n">
        <x:v>1198</x:v>
      </x:c>
      <x:c r="M496" s="25" t="n">
        <x:v>535</x:v>
      </x:c>
      <x:c r="N496" s="25" t="n">
        <x:v>322</x:v>
      </x:c>
      <x:c r="O496" s="25" t="n">
        <x:v>300</x:v>
      </x:c>
      <x:c r="P496" s="25" t="n">
        <x:f>L496+N496</x:f>
        <x:v>1520</x:v>
      </x:c>
      <x:c r="Q496" s="25" t="n">
        <x:f>M496+O496</x:f>
        <x:v>835</x:v>
      </x:c>
      <x:c r="R496" s="25" t="n">
        <x:f>MAX(0,MIN(J496,P496)-MAX(F496,L496))</x:f>
        <x:v>0</x:v>
      </x:c>
      <x:c r="S496" s="25" t="n">
        <x:f>MAX(0,MIN(K496,Q496)-MAX(G496,M496))</x:f>
        <x:v>300</x:v>
      </x:c>
      <x:c r="T496" s="25" t="n">
        <x:f>R496*S496</x:f>
        <x:v>0</x:v>
      </x:c>
      <x:c r="U496" s="24" t="str">
        <x:f>IF(T496&gt;0,"ERREUR chevauchement","OK aucun chevauchement")</x:f>
        <x:v>OK aucun chevauchement</x:v>
      </x:c>
      <x:c r="V496" s="24" t="str">
        <x:v>OK aucun chevauchement</x:v>
      </x:c>
      <x:c r="W496" s="24" t="str">
        <x:v>Si ERREUR : déplacer/redimensionner l’objet B ou créer un bookmark/masquage</x:v>
      </x:c>
    </x:row>
    <x:row r="497">
      <x:c r="A497" s="24" t="str">
        <x:v>Réseau MIA Tableau</x:v>
      </x:c>
      <x:c r="B497" s="24" t="str">
        <x:v>G04_Map_Main</x:v>
      </x:c>
      <x:c r="C497" s="24" t="str">
        <x:v>Map_Carte_France</x:v>
      </x:c>
      <x:c r="D497" s="24" t="str">
        <x:v>G05_Right_Analytics</x:v>
      </x:c>
      <x:c r="E497" s="24" t="str">
        <x:v>Tableau_Compact</x:v>
      </x:c>
      <x:c r="F497" s="25" t="n">
        <x:v>20</x:v>
      </x:c>
      <x:c r="G497" s="25" t="n">
        <x:v>535</x:v>
      </x:c>
      <x:c r="H497" s="25" t="n">
        <x:v>830</x:v>
      </x:c>
      <x:c r="I497" s="25" t="n">
        <x:v>560</x:v>
      </x:c>
      <x:c r="J497" s="25" t="n">
        <x:f>F497+H497</x:f>
        <x:v>850</x:v>
      </x:c>
      <x:c r="K497" s="25" t="n">
        <x:f>G497+I497</x:f>
        <x:v>1095</x:v>
      </x:c>
      <x:c r="L497" s="25" t="n">
        <x:v>866</x:v>
      </x:c>
      <x:c r="M497" s="25" t="n">
        <x:v>851</x:v>
      </x:c>
      <x:c r="N497" s="25" t="n">
        <x:v>654</x:v>
      </x:c>
      <x:c r="O497" s="25" t="n">
        <x:v>230</x:v>
      </x:c>
      <x:c r="P497" s="25" t="n">
        <x:f>L497+N497</x:f>
        <x:v>1520</x:v>
      </x:c>
      <x:c r="Q497" s="25" t="n">
        <x:f>M497+O497</x:f>
        <x:v>1081</x:v>
      </x:c>
      <x:c r="R497" s="25" t="n">
        <x:f>MAX(0,MIN(J497,P497)-MAX(F497,L497))</x:f>
        <x:v>0</x:v>
      </x:c>
      <x:c r="S497" s="25" t="n">
        <x:f>MAX(0,MIN(K497,Q497)-MAX(G497,M497))</x:f>
        <x:v>230</x:v>
      </x:c>
      <x:c r="T497" s="25" t="n">
        <x:f>R497*S497</x:f>
        <x:v>0</x:v>
      </x:c>
      <x:c r="U497" s="24" t="str">
        <x:f>IF(T497&gt;0,"ERREUR chevauchement","OK aucun chevauchement")</x:f>
        <x:v>OK aucun chevauchement</x:v>
      </x:c>
      <x:c r="V497" s="24" t="str">
        <x:v>OK aucun chevauchement</x:v>
      </x:c>
      <x:c r="W497" s="24" t="str">
        <x:v>Si ERREUR : déplacer/redimensionner l’objet B ou créer un bookmark/masquage</x:v>
      </x:c>
    </x:row>
    <x:row r="498">
      <x:c r="A498" s="24" t="str">
        <x:v>Réseau MIA Tableau</x:v>
      </x:c>
      <x:c r="B498" s="24" t="str">
        <x:v>G04_Map_Main</x:v>
      </x:c>
      <x:c r="C498" s="24" t="str">
        <x:v>Map_Carte_France</x:v>
      </x:c>
      <x:c r="D498" s="24" t="str">
        <x:v>G05_Right_Analytics</x:v>
      </x:c>
      <x:c r="E498" s="24" t="str">
        <x:v>Bar_MIA_Productifs</x:v>
      </x:c>
      <x:c r="F498" s="25" t="n">
        <x:v>20</x:v>
      </x:c>
      <x:c r="G498" s="25" t="n">
        <x:v>535</x:v>
      </x:c>
      <x:c r="H498" s="25" t="n">
        <x:v>830</x:v>
      </x:c>
      <x:c r="I498" s="25" t="n">
        <x:v>560</x:v>
      </x:c>
      <x:c r="J498" s="25" t="n">
        <x:f>F498+H498</x:f>
        <x:v>850</x:v>
      </x:c>
      <x:c r="K498" s="25" t="n">
        <x:f>G498+I498</x:f>
        <x:v>1095</x:v>
      </x:c>
      <x:c r="L498" s="25" t="n">
        <x:v>866</x:v>
      </x:c>
      <x:c r="M498" s="25" t="n">
        <x:v>1097</x:v>
      </x:c>
      <x:c r="N498" s="25" t="n">
        <x:v>654</x:v>
      </x:c>
      <x:c r="O498" s="25" t="n">
        <x:v>300</x:v>
      </x:c>
      <x:c r="P498" s="25" t="n">
        <x:f>L498+N498</x:f>
        <x:v>1520</x:v>
      </x:c>
      <x:c r="Q498" s="25" t="n">
        <x:f>M498+O498</x:f>
        <x:v>1397</x:v>
      </x:c>
      <x:c r="R498" s="25" t="n">
        <x:f>MAX(0,MIN(J498,P498)-MAX(F498,L498))</x:f>
        <x:v>0</x:v>
      </x:c>
      <x:c r="S498" s="25" t="n">
        <x:f>MAX(0,MIN(K498,Q498)-MAX(G498,M498))</x:f>
        <x:v>0</x:v>
      </x:c>
      <x:c r="T498" s="25" t="n">
        <x:f>R498*S498</x:f>
        <x:v>0</x:v>
      </x:c>
      <x:c r="U498" s="24" t="str">
        <x:f>IF(T498&gt;0,"ERREUR chevauchement","OK aucun chevauchement")</x:f>
        <x:v>OK aucun chevauchement</x:v>
      </x:c>
      <x:c r="V498" s="24" t="str">
        <x:v>OK aucun chevauchement</x:v>
      </x:c>
      <x:c r="W498" s="24" t="str">
        <x:v>Si ERREUR : déplacer/redimensionner l’objet B ou créer un bookmark/masquage</x:v>
      </x:c>
    </x:row>
    <x:row r="499">
      <x:c r="A499" s="24" t="str">
        <x:v>Réseau MIA Tableau</x:v>
      </x:c>
      <x:c r="B499" s="24" t="str">
        <x:v>G04_Map_Main</x:v>
      </x:c>
      <x:c r="C499" s="24" t="str">
        <x:v>Map_Carte_France</x:v>
      </x:c>
      <x:c r="D499" s="24" t="str">
        <x:v>G06_Table_Detail</x:v>
      </x:c>
      <x:c r="E499" s="24" t="str">
        <x:v>Tableau_Reseau_Detaille</x:v>
      </x:c>
      <x:c r="F499" s="25" t="n">
        <x:v>20</x:v>
      </x:c>
      <x:c r="G499" s="25" t="n">
        <x:v>535</x:v>
      </x:c>
      <x:c r="H499" s="25" t="n">
        <x:v>830</x:v>
      </x:c>
      <x:c r="I499" s="25" t="n">
        <x:v>560</x:v>
      </x:c>
      <x:c r="J499" s="25" t="n">
        <x:f>F499+H499</x:f>
        <x:v>850</x:v>
      </x:c>
      <x:c r="K499" s="25" t="n">
        <x:f>G499+I499</x:f>
        <x:v>1095</x:v>
      </x:c>
      <x:c r="L499" s="25" t="n">
        <x:v>20</x:v>
      </x:c>
      <x:c r="M499" s="25" t="n">
        <x:v>1417</x:v>
      </x:c>
      <x:c r="N499" s="25" t="n">
        <x:v>1500</x:v>
      </x:c>
      <x:c r="O499" s="25" t="n">
        <x:v>300</x:v>
      </x:c>
      <x:c r="P499" s="25" t="n">
        <x:f>L499+N499</x:f>
        <x:v>1520</x:v>
      </x:c>
      <x:c r="Q499" s="25" t="n">
        <x:f>M499+O499</x:f>
        <x:v>1717</x:v>
      </x:c>
      <x:c r="R499" s="25" t="n">
        <x:f>MAX(0,MIN(J499,P499)-MAX(F499,L499))</x:f>
        <x:v>830</x:v>
      </x:c>
      <x:c r="S499" s="25" t="n">
        <x:f>MAX(0,MIN(K499,Q499)-MAX(G499,M499))</x:f>
        <x:v>0</x:v>
      </x:c>
      <x:c r="T499" s="25" t="n">
        <x:f>R499*S499</x:f>
        <x:v>0</x:v>
      </x:c>
      <x:c r="U499" s="24" t="str">
        <x:f>IF(T499&gt;0,"ERREUR chevauchement","OK aucun chevauchement")</x:f>
        <x:v>OK aucun chevauchement</x:v>
      </x:c>
      <x:c r="V499" s="24" t="str">
        <x:v>OK aucun chevauchement</x:v>
      </x:c>
      <x:c r="W499" s="24" t="str">
        <x:v>Si ERREUR : déplacer/redimensionner l’objet B ou créer un bookmark/masquage</x:v>
      </x:c>
    </x:row>
    <x:row r="500">
      <x:c r="A500" s="24" t="str">
        <x:v>Réseau MIA Tableau</x:v>
      </x:c>
      <x:c r="B500" s="24" t="str">
        <x:v>G05_Right_Analytics</x:v>
      </x:c>
      <x:c r="C500" s="24" t="str">
        <x:v>Donut_CSP</x:v>
      </x:c>
      <x:c r="D500" s="24" t="str">
        <x:v>G05_Right_Analytics</x:v>
      </x:c>
      <x:c r="E500" s="24" t="str">
        <x:v>Donut_MIA</x:v>
      </x:c>
      <x:c r="F500" s="25" t="n">
        <x:v>866</x:v>
      </x:c>
      <x:c r="G500" s="25" t="n">
        <x:v>535</x:v>
      </x:c>
      <x:c r="H500" s="25" t="n">
        <x:v>316</x:v>
      </x:c>
      <x:c r="I500" s="25" t="n">
        <x:v>300</x:v>
      </x:c>
      <x:c r="J500" s="25" t="n">
        <x:f>F500+H500</x:f>
        <x:v>1182</x:v>
      </x:c>
      <x:c r="K500" s="25" t="n">
        <x:f>G500+I500</x:f>
        <x:v>835</x:v>
      </x:c>
      <x:c r="L500" s="25" t="n">
        <x:v>1198</x:v>
      </x:c>
      <x:c r="M500" s="25" t="n">
        <x:v>535</x:v>
      </x:c>
      <x:c r="N500" s="25" t="n">
        <x:v>322</x:v>
      </x:c>
      <x:c r="O500" s="25" t="n">
        <x:v>300</x:v>
      </x:c>
      <x:c r="P500" s="25" t="n">
        <x:f>L500+N500</x:f>
        <x:v>1520</x:v>
      </x:c>
      <x:c r="Q500" s="25" t="n">
        <x:f>M500+O500</x:f>
        <x:v>835</x:v>
      </x:c>
      <x:c r="R500" s="25" t="n">
        <x:f>MAX(0,MIN(J500,P500)-MAX(F500,L500))</x:f>
        <x:v>0</x:v>
      </x:c>
      <x:c r="S500" s="25" t="n">
        <x:f>MAX(0,MIN(K500,Q500)-MAX(G500,M500))</x:f>
        <x:v>300</x:v>
      </x:c>
      <x:c r="T500" s="25" t="n">
        <x:f>R500*S500</x:f>
        <x:v>0</x:v>
      </x:c>
      <x:c r="U500" s="24" t="str">
        <x:f>IF(T500&gt;0,"ERREUR chevauchement","OK aucun chevauchement")</x:f>
        <x:v>OK aucun chevauchement</x:v>
      </x:c>
      <x:c r="V500" s="24" t="str">
        <x:v>OK aucun chevauchement</x:v>
      </x:c>
      <x:c r="W500" s="24" t="str">
        <x:v>Si ERREUR : déplacer/redimensionner l’objet B ou créer un bookmark/masquage</x:v>
      </x:c>
    </x:row>
    <x:row r="501">
      <x:c r="A501" s="24" t="str">
        <x:v>Réseau MIA Tableau</x:v>
      </x:c>
      <x:c r="B501" s="24" t="str">
        <x:v>G05_Right_Analytics</x:v>
      </x:c>
      <x:c r="C501" s="24" t="str">
        <x:v>Donut_CSP</x:v>
      </x:c>
      <x:c r="D501" s="24" t="str">
        <x:v>G05_Right_Analytics</x:v>
      </x:c>
      <x:c r="E501" s="24" t="str">
        <x:v>Tableau_Compact</x:v>
      </x:c>
      <x:c r="F501" s="25" t="n">
        <x:v>866</x:v>
      </x:c>
      <x:c r="G501" s="25" t="n">
        <x:v>535</x:v>
      </x:c>
      <x:c r="H501" s="25" t="n">
        <x:v>316</x:v>
      </x:c>
      <x:c r="I501" s="25" t="n">
        <x:v>300</x:v>
      </x:c>
      <x:c r="J501" s="25" t="n">
        <x:f>F501+H501</x:f>
        <x:v>1182</x:v>
      </x:c>
      <x:c r="K501" s="25" t="n">
        <x:f>G501+I501</x:f>
        <x:v>835</x:v>
      </x:c>
      <x:c r="L501" s="25" t="n">
        <x:v>866</x:v>
      </x:c>
      <x:c r="M501" s="25" t="n">
        <x:v>851</x:v>
      </x:c>
      <x:c r="N501" s="25" t="n">
        <x:v>654</x:v>
      </x:c>
      <x:c r="O501" s="25" t="n">
        <x:v>230</x:v>
      </x:c>
      <x:c r="P501" s="25" t="n">
        <x:f>L501+N501</x:f>
        <x:v>1520</x:v>
      </x:c>
      <x:c r="Q501" s="25" t="n">
        <x:f>M501+O501</x:f>
        <x:v>1081</x:v>
      </x:c>
      <x:c r="R501" s="25" t="n">
        <x:f>MAX(0,MIN(J501,P501)-MAX(F501,L501))</x:f>
        <x:v>316</x:v>
      </x:c>
      <x:c r="S501" s="25" t="n">
        <x:f>MAX(0,MIN(K501,Q501)-MAX(G501,M501))</x:f>
        <x:v>0</x:v>
      </x:c>
      <x:c r="T501" s="25" t="n">
        <x:f>R501*S501</x:f>
        <x:v>0</x:v>
      </x:c>
      <x:c r="U501" s="24" t="str">
        <x:f>IF(T501&gt;0,"ERREUR chevauchement","OK aucun chevauchement")</x:f>
        <x:v>OK aucun chevauchement</x:v>
      </x:c>
      <x:c r="V501" s="24" t="str">
        <x:v>OK aucun chevauchement</x:v>
      </x:c>
      <x:c r="W501" s="24" t="str">
        <x:v>Si ERREUR : déplacer/redimensionner l’objet B ou créer un bookmark/masquage</x:v>
      </x:c>
    </x:row>
    <x:row r="502">
      <x:c r="A502" s="24" t="str">
        <x:v>Réseau MIA Tableau</x:v>
      </x:c>
      <x:c r="B502" s="24" t="str">
        <x:v>G05_Right_Analytics</x:v>
      </x:c>
      <x:c r="C502" s="24" t="str">
        <x:v>Donut_CSP</x:v>
      </x:c>
      <x:c r="D502" s="24" t="str">
        <x:v>G05_Right_Analytics</x:v>
      </x:c>
      <x:c r="E502" s="24" t="str">
        <x:v>Bar_MIA_Productifs</x:v>
      </x:c>
      <x:c r="F502" s="25" t="n">
        <x:v>866</x:v>
      </x:c>
      <x:c r="G502" s="25" t="n">
        <x:v>535</x:v>
      </x:c>
      <x:c r="H502" s="25" t="n">
        <x:v>316</x:v>
      </x:c>
      <x:c r="I502" s="25" t="n">
        <x:v>300</x:v>
      </x:c>
      <x:c r="J502" s="25" t="n">
        <x:f>F502+H502</x:f>
        <x:v>1182</x:v>
      </x:c>
      <x:c r="K502" s="25" t="n">
        <x:f>G502+I502</x:f>
        <x:v>835</x:v>
      </x:c>
      <x:c r="L502" s="25" t="n">
        <x:v>866</x:v>
      </x:c>
      <x:c r="M502" s="25" t="n">
        <x:v>1097</x:v>
      </x:c>
      <x:c r="N502" s="25" t="n">
        <x:v>654</x:v>
      </x:c>
      <x:c r="O502" s="25" t="n">
        <x:v>300</x:v>
      </x:c>
      <x:c r="P502" s="25" t="n">
        <x:f>L502+N502</x:f>
        <x:v>1520</x:v>
      </x:c>
      <x:c r="Q502" s="25" t="n">
        <x:f>M502+O502</x:f>
        <x:v>1397</x:v>
      </x:c>
      <x:c r="R502" s="25" t="n">
        <x:f>MAX(0,MIN(J502,P502)-MAX(F502,L502))</x:f>
        <x:v>316</x:v>
      </x:c>
      <x:c r="S502" s="25" t="n">
        <x:f>MAX(0,MIN(K502,Q502)-MAX(G502,M502))</x:f>
        <x:v>0</x:v>
      </x:c>
      <x:c r="T502" s="25" t="n">
        <x:f>R502*S502</x:f>
        <x:v>0</x:v>
      </x:c>
      <x:c r="U502" s="24" t="str">
        <x:f>IF(T502&gt;0,"ERREUR chevauchement","OK aucun chevauchement")</x:f>
        <x:v>OK aucun chevauchement</x:v>
      </x:c>
      <x:c r="V502" s="24" t="str">
        <x:v>OK aucun chevauchement</x:v>
      </x:c>
      <x:c r="W502" s="24" t="str">
        <x:v>Si ERREUR : déplacer/redimensionner l’objet B ou créer un bookmark/masquage</x:v>
      </x:c>
    </x:row>
    <x:row r="503">
      <x:c r="A503" s="24" t="str">
        <x:v>Réseau MIA Tableau</x:v>
      </x:c>
      <x:c r="B503" s="24" t="str">
        <x:v>G05_Right_Analytics</x:v>
      </x:c>
      <x:c r="C503" s="24" t="str">
        <x:v>Donut_CSP</x:v>
      </x:c>
      <x:c r="D503" s="24" t="str">
        <x:v>G06_Table_Detail</x:v>
      </x:c>
      <x:c r="E503" s="24" t="str">
        <x:v>Tableau_Reseau_Detaille</x:v>
      </x:c>
      <x:c r="F503" s="25" t="n">
        <x:v>866</x:v>
      </x:c>
      <x:c r="G503" s="25" t="n">
        <x:v>535</x:v>
      </x:c>
      <x:c r="H503" s="25" t="n">
        <x:v>316</x:v>
      </x:c>
      <x:c r="I503" s="25" t="n">
        <x:v>300</x:v>
      </x:c>
      <x:c r="J503" s="25" t="n">
        <x:f>F503+H503</x:f>
        <x:v>1182</x:v>
      </x:c>
      <x:c r="K503" s="25" t="n">
        <x:f>G503+I503</x:f>
        <x:v>835</x:v>
      </x:c>
      <x:c r="L503" s="25" t="n">
        <x:v>20</x:v>
      </x:c>
      <x:c r="M503" s="25" t="n">
        <x:v>1417</x:v>
      </x:c>
      <x:c r="N503" s="25" t="n">
        <x:v>1500</x:v>
      </x:c>
      <x:c r="O503" s="25" t="n">
        <x:v>300</x:v>
      </x:c>
      <x:c r="P503" s="25" t="n">
        <x:f>L503+N503</x:f>
        <x:v>1520</x:v>
      </x:c>
      <x:c r="Q503" s="25" t="n">
        <x:f>M503+O503</x:f>
        <x:v>1717</x:v>
      </x:c>
      <x:c r="R503" s="25" t="n">
        <x:f>MAX(0,MIN(J503,P503)-MAX(F503,L503))</x:f>
        <x:v>316</x:v>
      </x:c>
      <x:c r="S503" s="25" t="n">
        <x:f>MAX(0,MIN(K503,Q503)-MAX(G503,M503))</x:f>
        <x:v>0</x:v>
      </x:c>
      <x:c r="T503" s="25" t="n">
        <x:f>R503*S503</x:f>
        <x:v>0</x:v>
      </x:c>
      <x:c r="U503" s="24" t="str">
        <x:f>IF(T503&gt;0,"ERREUR chevauchement","OK aucun chevauchement")</x:f>
        <x:v>OK aucun chevauchement</x:v>
      </x:c>
      <x:c r="V503" s="24" t="str">
        <x:v>OK aucun chevauchement</x:v>
      </x:c>
      <x:c r="W503" s="24" t="str">
        <x:v>Si ERREUR : déplacer/redimensionner l’objet B ou créer un bookmark/masquage</x:v>
      </x:c>
    </x:row>
    <x:row r="504">
      <x:c r="A504" s="24" t="str">
        <x:v>Réseau MIA Tableau</x:v>
      </x:c>
      <x:c r="B504" s="24" t="str">
        <x:v>G05_Right_Analytics</x:v>
      </x:c>
      <x:c r="C504" s="24" t="str">
        <x:v>Donut_MIA</x:v>
      </x:c>
      <x:c r="D504" s="24" t="str">
        <x:v>G05_Right_Analytics</x:v>
      </x:c>
      <x:c r="E504" s="24" t="str">
        <x:v>Tableau_Compact</x:v>
      </x:c>
      <x:c r="F504" s="25" t="n">
        <x:v>1198</x:v>
      </x:c>
      <x:c r="G504" s="25" t="n">
        <x:v>535</x:v>
      </x:c>
      <x:c r="H504" s="25" t="n">
        <x:v>322</x:v>
      </x:c>
      <x:c r="I504" s="25" t="n">
        <x:v>300</x:v>
      </x:c>
      <x:c r="J504" s="25" t="n">
        <x:f>F504+H504</x:f>
        <x:v>1520</x:v>
      </x:c>
      <x:c r="K504" s="25" t="n">
        <x:f>G504+I504</x:f>
        <x:v>835</x:v>
      </x:c>
      <x:c r="L504" s="25" t="n">
        <x:v>866</x:v>
      </x:c>
      <x:c r="M504" s="25" t="n">
        <x:v>851</x:v>
      </x:c>
      <x:c r="N504" s="25" t="n">
        <x:v>654</x:v>
      </x:c>
      <x:c r="O504" s="25" t="n">
        <x:v>230</x:v>
      </x:c>
      <x:c r="P504" s="25" t="n">
        <x:f>L504+N504</x:f>
        <x:v>1520</x:v>
      </x:c>
      <x:c r="Q504" s="25" t="n">
        <x:f>M504+O504</x:f>
        <x:v>1081</x:v>
      </x:c>
      <x:c r="R504" s="25" t="n">
        <x:f>MAX(0,MIN(J504,P504)-MAX(F504,L504))</x:f>
        <x:v>322</x:v>
      </x:c>
      <x:c r="S504" s="25" t="n">
        <x:f>MAX(0,MIN(K504,Q504)-MAX(G504,M504))</x:f>
        <x:v>0</x:v>
      </x:c>
      <x:c r="T504" s="25" t="n">
        <x:f>R504*S504</x:f>
        <x:v>0</x:v>
      </x:c>
      <x:c r="U504" s="24" t="str">
        <x:f>IF(T504&gt;0,"ERREUR chevauchement","OK aucun chevauchement")</x:f>
        <x:v>OK aucun chevauchement</x:v>
      </x:c>
      <x:c r="V504" s="24" t="str">
        <x:v>OK aucun chevauchement</x:v>
      </x:c>
      <x:c r="W504" s="24" t="str">
        <x:v>Si ERREUR : déplacer/redimensionner l’objet B ou créer un bookmark/masquage</x:v>
      </x:c>
    </x:row>
    <x:row r="505">
      <x:c r="A505" s="24" t="str">
        <x:v>Réseau MIA Tableau</x:v>
      </x:c>
      <x:c r="B505" s="24" t="str">
        <x:v>G05_Right_Analytics</x:v>
      </x:c>
      <x:c r="C505" s="24" t="str">
        <x:v>Donut_MIA</x:v>
      </x:c>
      <x:c r="D505" s="24" t="str">
        <x:v>G05_Right_Analytics</x:v>
      </x:c>
      <x:c r="E505" s="24" t="str">
        <x:v>Bar_MIA_Productifs</x:v>
      </x:c>
      <x:c r="F505" s="25" t="n">
        <x:v>1198</x:v>
      </x:c>
      <x:c r="G505" s="25" t="n">
        <x:v>535</x:v>
      </x:c>
      <x:c r="H505" s="25" t="n">
        <x:v>322</x:v>
      </x:c>
      <x:c r="I505" s="25" t="n">
        <x:v>300</x:v>
      </x:c>
      <x:c r="J505" s="25" t="n">
        <x:f>F505+H505</x:f>
        <x:v>1520</x:v>
      </x:c>
      <x:c r="K505" s="25" t="n">
        <x:f>G505+I505</x:f>
        <x:v>835</x:v>
      </x:c>
      <x:c r="L505" s="25" t="n">
        <x:v>866</x:v>
      </x:c>
      <x:c r="M505" s="25" t="n">
        <x:v>1097</x:v>
      </x:c>
      <x:c r="N505" s="25" t="n">
        <x:v>654</x:v>
      </x:c>
      <x:c r="O505" s="25" t="n">
        <x:v>300</x:v>
      </x:c>
      <x:c r="P505" s="25" t="n">
        <x:f>L505+N505</x:f>
        <x:v>1520</x:v>
      </x:c>
      <x:c r="Q505" s="25" t="n">
        <x:f>M505+O505</x:f>
        <x:v>1397</x:v>
      </x:c>
      <x:c r="R505" s="25" t="n">
        <x:f>MAX(0,MIN(J505,P505)-MAX(F505,L505))</x:f>
        <x:v>322</x:v>
      </x:c>
      <x:c r="S505" s="25" t="n">
        <x:f>MAX(0,MIN(K505,Q505)-MAX(G505,M505))</x:f>
        <x:v>0</x:v>
      </x:c>
      <x:c r="T505" s="25" t="n">
        <x:f>R505*S505</x:f>
        <x:v>0</x:v>
      </x:c>
      <x:c r="U505" s="24" t="str">
        <x:f>IF(T505&gt;0,"ERREUR chevauchement","OK aucun chevauchement")</x:f>
        <x:v>OK aucun chevauchement</x:v>
      </x:c>
      <x:c r="V505" s="24" t="str">
        <x:v>OK aucun chevauchement</x:v>
      </x:c>
      <x:c r="W505" s="24" t="str">
        <x:v>Si ERREUR : déplacer/redimensionner l’objet B ou créer un bookmark/masquage</x:v>
      </x:c>
    </x:row>
    <x:row r="506">
      <x:c r="A506" s="24" t="str">
        <x:v>Réseau MIA Tableau</x:v>
      </x:c>
      <x:c r="B506" s="24" t="str">
        <x:v>G05_Right_Analytics</x:v>
      </x:c>
      <x:c r="C506" s="24" t="str">
        <x:v>Donut_MIA</x:v>
      </x:c>
      <x:c r="D506" s="24" t="str">
        <x:v>G06_Table_Detail</x:v>
      </x:c>
      <x:c r="E506" s="24" t="str">
        <x:v>Tableau_Reseau_Detaille</x:v>
      </x:c>
      <x:c r="F506" s="25" t="n">
        <x:v>1198</x:v>
      </x:c>
      <x:c r="G506" s="25" t="n">
        <x:v>535</x:v>
      </x:c>
      <x:c r="H506" s="25" t="n">
        <x:v>322</x:v>
      </x:c>
      <x:c r="I506" s="25" t="n">
        <x:v>300</x:v>
      </x:c>
      <x:c r="J506" s="25" t="n">
        <x:f>F506+H506</x:f>
        <x:v>1520</x:v>
      </x:c>
      <x:c r="K506" s="25" t="n">
        <x:f>G506+I506</x:f>
        <x:v>835</x:v>
      </x:c>
      <x:c r="L506" s="25" t="n">
        <x:v>20</x:v>
      </x:c>
      <x:c r="M506" s="25" t="n">
        <x:v>1417</x:v>
      </x:c>
      <x:c r="N506" s="25" t="n">
        <x:v>1500</x:v>
      </x:c>
      <x:c r="O506" s="25" t="n">
        <x:v>300</x:v>
      </x:c>
      <x:c r="P506" s="25" t="n">
        <x:f>L506+N506</x:f>
        <x:v>1520</x:v>
      </x:c>
      <x:c r="Q506" s="25" t="n">
        <x:f>M506+O506</x:f>
        <x:v>1717</x:v>
      </x:c>
      <x:c r="R506" s="25" t="n">
        <x:f>MAX(0,MIN(J506,P506)-MAX(F506,L506))</x:f>
        <x:v>322</x:v>
      </x:c>
      <x:c r="S506" s="25" t="n">
        <x:f>MAX(0,MIN(K506,Q506)-MAX(G506,M506))</x:f>
        <x:v>0</x:v>
      </x:c>
      <x:c r="T506" s="25" t="n">
        <x:f>R506*S506</x:f>
        <x:v>0</x:v>
      </x:c>
      <x:c r="U506" s="24" t="str">
        <x:f>IF(T506&gt;0,"ERREUR chevauchement","OK aucun chevauchement")</x:f>
        <x:v>OK aucun chevauchement</x:v>
      </x:c>
      <x:c r="V506" s="24" t="str">
        <x:v>OK aucun chevauchement</x:v>
      </x:c>
      <x:c r="W506" s="24" t="str">
        <x:v>Si ERREUR : déplacer/redimensionner l’objet B ou créer un bookmark/masquage</x:v>
      </x:c>
    </x:row>
    <x:row r="507">
      <x:c r="A507" s="24" t="str">
        <x:v>Réseau MIA Tableau</x:v>
      </x:c>
      <x:c r="B507" s="24" t="str">
        <x:v>G05_Right_Analytics</x:v>
      </x:c>
      <x:c r="C507" s="24" t="str">
        <x:v>Tableau_Compact</x:v>
      </x:c>
      <x:c r="D507" s="24" t="str">
        <x:v>G05_Right_Analytics</x:v>
      </x:c>
      <x:c r="E507" s="24" t="str">
        <x:v>Bar_MIA_Productifs</x:v>
      </x:c>
      <x:c r="F507" s="25" t="n">
        <x:v>866</x:v>
      </x:c>
      <x:c r="G507" s="25" t="n">
        <x:v>851</x:v>
      </x:c>
      <x:c r="H507" s="25" t="n">
        <x:v>654</x:v>
      </x:c>
      <x:c r="I507" s="25" t="n">
        <x:v>230</x:v>
      </x:c>
      <x:c r="J507" s="25" t="n">
        <x:f>F507+H507</x:f>
        <x:v>1520</x:v>
      </x:c>
      <x:c r="K507" s="25" t="n">
        <x:f>G507+I507</x:f>
        <x:v>1081</x:v>
      </x:c>
      <x:c r="L507" s="25" t="n">
        <x:v>866</x:v>
      </x:c>
      <x:c r="M507" s="25" t="n">
        <x:v>1097</x:v>
      </x:c>
      <x:c r="N507" s="25" t="n">
        <x:v>654</x:v>
      </x:c>
      <x:c r="O507" s="25" t="n">
        <x:v>300</x:v>
      </x:c>
      <x:c r="P507" s="25" t="n">
        <x:f>L507+N507</x:f>
        <x:v>1520</x:v>
      </x:c>
      <x:c r="Q507" s="25" t="n">
        <x:f>M507+O507</x:f>
        <x:v>1397</x:v>
      </x:c>
      <x:c r="R507" s="25" t="n">
        <x:f>MAX(0,MIN(J507,P507)-MAX(F507,L507))</x:f>
        <x:v>654</x:v>
      </x:c>
      <x:c r="S507" s="25" t="n">
        <x:f>MAX(0,MIN(K507,Q507)-MAX(G507,M507))</x:f>
        <x:v>0</x:v>
      </x:c>
      <x:c r="T507" s="25" t="n">
        <x:f>R507*S507</x:f>
        <x:v>0</x:v>
      </x:c>
      <x:c r="U507" s="24" t="str">
        <x:f>IF(T507&gt;0,"ERREUR chevauchement","OK aucun chevauchement")</x:f>
        <x:v>OK aucun chevauchement</x:v>
      </x:c>
      <x:c r="V507" s="24" t="str">
        <x:v>OK aucun chevauchement</x:v>
      </x:c>
      <x:c r="W507" s="24" t="str">
        <x:v>Si ERREUR : déplacer/redimensionner l’objet B ou créer un bookmark/masquage</x:v>
      </x:c>
    </x:row>
    <x:row r="508">
      <x:c r="A508" s="24" t="str">
        <x:v>Réseau MIA Tableau</x:v>
      </x:c>
      <x:c r="B508" s="24" t="str">
        <x:v>G05_Right_Analytics</x:v>
      </x:c>
      <x:c r="C508" s="24" t="str">
        <x:v>Tableau_Compact</x:v>
      </x:c>
      <x:c r="D508" s="24" t="str">
        <x:v>G06_Table_Detail</x:v>
      </x:c>
      <x:c r="E508" s="24" t="str">
        <x:v>Tableau_Reseau_Detaille</x:v>
      </x:c>
      <x:c r="F508" s="25" t="n">
        <x:v>866</x:v>
      </x:c>
      <x:c r="G508" s="25" t="n">
        <x:v>851</x:v>
      </x:c>
      <x:c r="H508" s="25" t="n">
        <x:v>654</x:v>
      </x:c>
      <x:c r="I508" s="25" t="n">
        <x:v>230</x:v>
      </x:c>
      <x:c r="J508" s="25" t="n">
        <x:f>F508+H508</x:f>
        <x:v>1520</x:v>
      </x:c>
      <x:c r="K508" s="25" t="n">
        <x:f>G508+I508</x:f>
        <x:v>1081</x:v>
      </x:c>
      <x:c r="L508" s="25" t="n">
        <x:v>20</x:v>
      </x:c>
      <x:c r="M508" s="25" t="n">
        <x:v>1417</x:v>
      </x:c>
      <x:c r="N508" s="25" t="n">
        <x:v>1500</x:v>
      </x:c>
      <x:c r="O508" s="25" t="n">
        <x:v>300</x:v>
      </x:c>
      <x:c r="P508" s="25" t="n">
        <x:f>L508+N508</x:f>
        <x:v>1520</x:v>
      </x:c>
      <x:c r="Q508" s="25" t="n">
        <x:f>M508+O508</x:f>
        <x:v>1717</x:v>
      </x:c>
      <x:c r="R508" s="25" t="n">
        <x:f>MAX(0,MIN(J508,P508)-MAX(F508,L508))</x:f>
        <x:v>654</x:v>
      </x:c>
      <x:c r="S508" s="25" t="n">
        <x:f>MAX(0,MIN(K508,Q508)-MAX(G508,M508))</x:f>
        <x:v>0</x:v>
      </x:c>
      <x:c r="T508" s="25" t="n">
        <x:f>R508*S508</x:f>
        <x:v>0</x:v>
      </x:c>
      <x:c r="U508" s="24" t="str">
        <x:f>IF(T508&gt;0,"ERREUR chevauchement","OK aucun chevauchement")</x:f>
        <x:v>OK aucun chevauchement</x:v>
      </x:c>
      <x:c r="V508" s="24" t="str">
        <x:v>OK aucun chevauchement</x:v>
      </x:c>
      <x:c r="W508" s="24" t="str">
        <x:v>Si ERREUR : déplacer/redimensionner l’objet B ou créer un bookmark/masquage</x:v>
      </x:c>
    </x:row>
    <x:row r="509">
      <x:c r="A509" s="24" t="str">
        <x:v>Réseau MIA Tableau</x:v>
      </x:c>
      <x:c r="B509" s="24" t="str">
        <x:v>G05_Right_Analytics</x:v>
      </x:c>
      <x:c r="C509" s="24" t="str">
        <x:v>Bar_MIA_Productifs</x:v>
      </x:c>
      <x:c r="D509" s="24" t="str">
        <x:v>G06_Table_Detail</x:v>
      </x:c>
      <x:c r="E509" s="24" t="str">
        <x:v>Tableau_Reseau_Detaille</x:v>
      </x:c>
      <x:c r="F509" s="25" t="n">
        <x:v>866</x:v>
      </x:c>
      <x:c r="G509" s="25" t="n">
        <x:v>1097</x:v>
      </x:c>
      <x:c r="H509" s="25" t="n">
        <x:v>654</x:v>
      </x:c>
      <x:c r="I509" s="25" t="n">
        <x:v>300</x:v>
      </x:c>
      <x:c r="J509" s="25" t="n">
        <x:f>F509+H509</x:f>
        <x:v>1520</x:v>
      </x:c>
      <x:c r="K509" s="25" t="n">
        <x:f>G509+I509</x:f>
        <x:v>1397</x:v>
      </x:c>
      <x:c r="L509" s="25" t="n">
        <x:v>20</x:v>
      </x:c>
      <x:c r="M509" s="25" t="n">
        <x:v>1417</x:v>
      </x:c>
      <x:c r="N509" s="25" t="n">
        <x:v>1500</x:v>
      </x:c>
      <x:c r="O509" s="25" t="n">
        <x:v>300</x:v>
      </x:c>
      <x:c r="P509" s="25" t="n">
        <x:f>L509+N509</x:f>
        <x:v>1520</x:v>
      </x:c>
      <x:c r="Q509" s="25" t="n">
        <x:f>M509+O509</x:f>
        <x:v>1717</x:v>
      </x:c>
      <x:c r="R509" s="25" t="n">
        <x:f>MAX(0,MIN(J509,P509)-MAX(F509,L509))</x:f>
        <x:v>654</x:v>
      </x:c>
      <x:c r="S509" s="25" t="n">
        <x:f>MAX(0,MIN(K509,Q509)-MAX(G509,M509))</x:f>
        <x:v>0</x:v>
      </x:c>
      <x:c r="T509" s="25" t="n">
        <x:f>R509*S509</x:f>
        <x:v>0</x:v>
      </x:c>
      <x:c r="U509" s="24" t="str">
        <x:f>IF(T509&gt;0,"ERREUR chevauchement","OK aucun chevauchement")</x:f>
        <x:v>OK aucun chevauchement</x:v>
      </x:c>
      <x:c r="V509" s="24" t="str">
        <x:v>OK aucun chevauchement</x:v>
      </x:c>
      <x:c r="W509" s="24" t="str">
        <x:v>Si ERREUR : déplacer/redimensionner l’objet B ou créer un bookmark/masquage</x:v>
      </x:c>
    </x:row>
    <x:row r="510">
      <x:c r="A510" s="24" t="str">
        <x:v>Rendez-vous</x:v>
      </x:c>
      <x:c r="B510" s="24" t="str">
        <x:v>G04_Charts</x:v>
      </x:c>
      <x:c r="C510" s="24" t="str">
        <x:v>Bar_Repartition_RDV</x:v>
      </x:c>
      <x:c r="D510" s="24" t="str">
        <x:v>G04_Charts</x:v>
      </x:c>
      <x:c r="E510" s="24" t="str">
        <x:v>Line_RDV_Prevus_Realises</x:v>
      </x:c>
      <x:c r="F510" s="25" t="n">
        <x:v>20</x:v>
      </x:c>
      <x:c r="G510" s="25" t="n">
        <x:v>535</x:v>
      </x:c>
      <x:c r="H510" s="25" t="n">
        <x:v>490</x:v>
      </x:c>
      <x:c r="I510" s="25" t="n">
        <x:v>320</x:v>
      </x:c>
      <x:c r="J510" s="25" t="n">
        <x:f>F510+H510</x:f>
        <x:v>510</x:v>
      </x:c>
      <x:c r="K510" s="25" t="n">
        <x:f>G510+I510</x:f>
        <x:v>855</x:v>
      </x:c>
      <x:c r="L510" s="25" t="n">
        <x:v>526</x:v>
      </x:c>
      <x:c r="M510" s="25" t="n">
        <x:v>535</x:v>
      </x:c>
      <x:c r="N510" s="25" t="n">
        <x:v>994</x:v>
      </x:c>
      <x:c r="O510" s="25" t="n">
        <x:v>320</x:v>
      </x:c>
      <x:c r="P510" s="25" t="n">
        <x:f>L510+N510</x:f>
        <x:v>1520</x:v>
      </x:c>
      <x:c r="Q510" s="25" t="n">
        <x:f>M510+O510</x:f>
        <x:v>855</x:v>
      </x:c>
      <x:c r="R510" s="25" t="n">
        <x:f>MAX(0,MIN(J510,P510)-MAX(F510,L510))</x:f>
        <x:v>0</x:v>
      </x:c>
      <x:c r="S510" s="25" t="n">
        <x:f>MAX(0,MIN(K510,Q510)-MAX(G510,M510))</x:f>
        <x:v>320</x:v>
      </x:c>
      <x:c r="T510" s="25" t="n">
        <x:f>R510*S510</x:f>
        <x:v>0</x:v>
      </x:c>
      <x:c r="U510" s="24" t="str">
        <x:f>IF(T510&gt;0,"ERREUR chevauchement","OK aucun chevauchement")</x:f>
        <x:v>OK aucun chevauchement</x:v>
      </x:c>
      <x:c r="V510" s="24" t="str">
        <x:v>OK aucun chevauchement</x:v>
      </x:c>
      <x:c r="W510" s="24" t="str">
        <x:v>Si ERREUR : déplacer/redimensionner l’objet B ou créer un bookmark/masquage</x:v>
      </x:c>
    </x:row>
    <x:row r="511">
      <x:c r="A511" s="24" t="str">
        <x:v>Rendez-vous</x:v>
      </x:c>
      <x:c r="B511" s="24" t="str">
        <x:v>G04_Charts</x:v>
      </x:c>
      <x:c r="C511" s="24" t="str">
        <x:v>Bar_Repartition_RDV</x:v>
      </x:c>
      <x:c r="D511" s="24" t="str">
        <x:v>G05_Table</x:v>
      </x:c>
      <x:c r="E511" s="24" t="str">
        <x:v>Table_Detail_RDV</x:v>
      </x:c>
      <x:c r="F511" s="25" t="n">
        <x:v>20</x:v>
      </x:c>
      <x:c r="G511" s="25" t="n">
        <x:v>535</x:v>
      </x:c>
      <x:c r="H511" s="25" t="n">
        <x:v>490</x:v>
      </x:c>
      <x:c r="I511" s="25" t="n">
        <x:v>320</x:v>
      </x:c>
      <x:c r="J511" s="25" t="n">
        <x:f>F511+H511</x:f>
        <x:v>510</x:v>
      </x:c>
      <x:c r="K511" s="25" t="n">
        <x:f>G511+I511</x:f>
        <x:v>855</x:v>
      </x:c>
      <x:c r="L511" s="25" t="n">
        <x:v>20</x:v>
      </x:c>
      <x:c r="M511" s="25" t="n">
        <x:v>875</x:v>
      </x:c>
      <x:c r="N511" s="25" t="n">
        <x:v>1500</x:v>
      </x:c>
      <x:c r="O511" s="25" t="n">
        <x:v>360</x:v>
      </x:c>
      <x:c r="P511" s="25" t="n">
        <x:f>L511+N511</x:f>
        <x:v>1520</x:v>
      </x:c>
      <x:c r="Q511" s="25" t="n">
        <x:f>M511+O511</x:f>
        <x:v>1235</x:v>
      </x:c>
      <x:c r="R511" s="25" t="n">
        <x:f>MAX(0,MIN(J511,P511)-MAX(F511,L511))</x:f>
        <x:v>490</x:v>
      </x:c>
      <x:c r="S511" s="25" t="n">
        <x:f>MAX(0,MIN(K511,Q511)-MAX(G511,M511))</x:f>
        <x:v>0</x:v>
      </x:c>
      <x:c r="T511" s="25" t="n">
        <x:f>R511*S511</x:f>
        <x:v>0</x:v>
      </x:c>
      <x:c r="U511" s="24" t="str">
        <x:f>IF(T511&gt;0,"ERREUR chevauchement","OK aucun chevauchement")</x:f>
        <x:v>OK aucun chevauchement</x:v>
      </x:c>
      <x:c r="V511" s="24" t="str">
        <x:v>OK aucun chevauchement</x:v>
      </x:c>
      <x:c r="W511" s="24" t="str">
        <x:v>Si ERREUR : déplacer/redimensionner l’objet B ou créer un bookmark/masquage</x:v>
      </x:c>
    </x:row>
    <x:row r="512">
      <x:c r="A512" s="24" t="str">
        <x:v>Rendez-vous</x:v>
      </x:c>
      <x:c r="B512" s="24" t="str">
        <x:v>G04_Charts</x:v>
      </x:c>
      <x:c r="C512" s="24" t="str">
        <x:v>Line_RDV_Prevus_Realises</x:v>
      </x:c>
      <x:c r="D512" s="24" t="str">
        <x:v>G05_Table</x:v>
      </x:c>
      <x:c r="E512" s="24" t="str">
        <x:v>Table_Detail_RDV</x:v>
      </x:c>
      <x:c r="F512" s="25" t="n">
        <x:v>526</x:v>
      </x:c>
      <x:c r="G512" s="25" t="n">
        <x:v>535</x:v>
      </x:c>
      <x:c r="H512" s="25" t="n">
        <x:v>994</x:v>
      </x:c>
      <x:c r="I512" s="25" t="n">
        <x:v>320</x:v>
      </x:c>
      <x:c r="J512" s="25" t="n">
        <x:f>F512+H512</x:f>
        <x:v>1520</x:v>
      </x:c>
      <x:c r="K512" s="25" t="n">
        <x:f>G512+I512</x:f>
        <x:v>855</x:v>
      </x:c>
      <x:c r="L512" s="25" t="n">
        <x:v>20</x:v>
      </x:c>
      <x:c r="M512" s="25" t="n">
        <x:v>875</x:v>
      </x:c>
      <x:c r="N512" s="25" t="n">
        <x:v>1500</x:v>
      </x:c>
      <x:c r="O512" s="25" t="n">
        <x:v>360</x:v>
      </x:c>
      <x:c r="P512" s="25" t="n">
        <x:f>L512+N512</x:f>
        <x:v>1520</x:v>
      </x:c>
      <x:c r="Q512" s="25" t="n">
        <x:f>M512+O512</x:f>
        <x:v>1235</x:v>
      </x:c>
      <x:c r="R512" s="25" t="n">
        <x:f>MAX(0,MIN(J512,P512)-MAX(F512,L512))</x:f>
        <x:v>994</x:v>
      </x:c>
      <x:c r="S512" s="25" t="n">
        <x:f>MAX(0,MIN(K512,Q512)-MAX(G512,M512))</x:f>
        <x:v>0</x:v>
      </x:c>
      <x:c r="T512" s="25" t="n">
        <x:f>R512*S512</x:f>
        <x:v>0</x:v>
      </x:c>
      <x:c r="U512" s="24" t="str">
        <x:f>IF(T512&gt;0,"ERREUR chevauchement","OK aucun chevauchement")</x:f>
        <x:v>OK aucun chevauchement</x:v>
      </x:c>
      <x:c r="V512" s="24" t="str">
        <x:v>OK aucun chevauchement</x:v>
      </x:c>
      <x:c r="W512" s="24" t="str">
        <x:v>Si ERREUR : déplacer/redimensionner l’objet B ou créer un bookmark/masquage</x:v>
      </x:c>
    </x:row>
    <x:row r="513">
      <x:c r="A513" s="24" t="str">
        <x:v>Alertes</x:v>
      </x:c>
      <x:c r="B513" s="24" t="str">
        <x:v>G04_Alertes</x:v>
      </x:c>
      <x:c r="C513" s="24" t="str">
        <x:v>Bloc_Niveaux_Alerte</x:v>
      </x:c>
      <x:c r="D513" s="24" t="str">
        <x:v>G04_Alertes</x:v>
      </x:c>
      <x:c r="E513" s="24" t="str">
        <x:v>Bloc_Recommandation</x:v>
      </x:c>
      <x:c r="F513" s="25" t="n">
        <x:v>20</x:v>
      </x:c>
      <x:c r="G513" s="25" t="n">
        <x:v>535</x:v>
      </x:c>
      <x:c r="H513" s="25" t="n">
        <x:v>742</x:v>
      </x:c>
      <x:c r="I513" s="25" t="n">
        <x:v>330</x:v>
      </x:c>
      <x:c r="J513" s="25" t="n">
        <x:f>F513+H513</x:f>
        <x:v>762</x:v>
      </x:c>
      <x:c r="K513" s="25" t="n">
        <x:f>G513+I513</x:f>
        <x:v>865</x:v>
      </x:c>
      <x:c r="L513" s="25" t="n">
        <x:v>778</x:v>
      </x:c>
      <x:c r="M513" s="25" t="n">
        <x:v>535</x:v>
      </x:c>
      <x:c r="N513" s="25" t="n">
        <x:v>742</x:v>
      </x:c>
      <x:c r="O513" s="25" t="n">
        <x:v>330</x:v>
      </x:c>
      <x:c r="P513" s="25" t="n">
        <x:f>L513+N513</x:f>
        <x:v>1520</x:v>
      </x:c>
      <x:c r="Q513" s="25" t="n">
        <x:f>M513+O513</x:f>
        <x:v>865</x:v>
      </x:c>
      <x:c r="R513" s="25" t="n">
        <x:f>MAX(0,MIN(J513,P513)-MAX(F513,L513))</x:f>
        <x:v>0</x:v>
      </x:c>
      <x:c r="S513" s="25" t="n">
        <x:f>MAX(0,MIN(K513,Q513)-MAX(G513,M513))</x:f>
        <x:v>330</x:v>
      </x:c>
      <x:c r="T513" s="25" t="n">
        <x:f>R513*S513</x:f>
        <x:v>0</x:v>
      </x:c>
      <x:c r="U513" s="24" t="str">
        <x:f>IF(T513&gt;0,"ERREUR chevauchement","OK aucun chevauchement")</x:f>
        <x:v>OK aucun chevauchement</x:v>
      </x:c>
      <x:c r="V513" s="24" t="str">
        <x:v>OK aucun chevauchement</x:v>
      </x:c>
      <x:c r="W513" s="24" t="str">
        <x:v>Si ERREUR : déplacer/redimensionner l’objet B ou créer un bookmark/masquage</x:v>
      </x:c>
    </x:row>
    <x:row r="514">
      <x:c r="A514" s="24" t="str">
        <x:v>Alertes</x:v>
      </x:c>
      <x:c r="B514" s="24" t="str">
        <x:v>G04_Alertes</x:v>
      </x:c>
      <x:c r="C514" s="24" t="str">
        <x:v>Bloc_Niveaux_Alerte</x:v>
      </x:c>
      <x:c r="D514" s="24" t="str">
        <x:v>G05_Table</x:v>
      </x:c>
      <x:c r="E514" s="24" t="str">
        <x:v>Table_Detail_Alertes</x:v>
      </x:c>
      <x:c r="F514" s="25" t="n">
        <x:v>20</x:v>
      </x:c>
      <x:c r="G514" s="25" t="n">
        <x:v>535</x:v>
      </x:c>
      <x:c r="H514" s="25" t="n">
        <x:v>742</x:v>
      </x:c>
      <x:c r="I514" s="25" t="n">
        <x:v>330</x:v>
      </x:c>
      <x:c r="J514" s="25" t="n">
        <x:f>F514+H514</x:f>
        <x:v>762</x:v>
      </x:c>
      <x:c r="K514" s="25" t="n">
        <x:f>G514+I514</x:f>
        <x:v>865</x:v>
      </x:c>
      <x:c r="L514" s="25" t="n">
        <x:v>20</x:v>
      </x:c>
      <x:c r="M514" s="25" t="n">
        <x:v>885</x:v>
      </x:c>
      <x:c r="N514" s="25" t="n">
        <x:v>1500</x:v>
      </x:c>
      <x:c r="O514" s="25" t="n">
        <x:v>430</x:v>
      </x:c>
      <x:c r="P514" s="25" t="n">
        <x:f>L514+N514</x:f>
        <x:v>1520</x:v>
      </x:c>
      <x:c r="Q514" s="25" t="n">
        <x:f>M514+O514</x:f>
        <x:v>1315</x:v>
      </x:c>
      <x:c r="R514" s="25" t="n">
        <x:f>MAX(0,MIN(J514,P514)-MAX(F514,L514))</x:f>
        <x:v>742</x:v>
      </x:c>
      <x:c r="S514" s="25" t="n">
        <x:f>MAX(0,MIN(K514,Q514)-MAX(G514,M514))</x:f>
        <x:v>0</x:v>
      </x:c>
      <x:c r="T514" s="25" t="n">
        <x:f>R514*S514</x:f>
        <x:v>0</x:v>
      </x:c>
      <x:c r="U514" s="24" t="str">
        <x:f>IF(T514&gt;0,"ERREUR chevauchement","OK aucun chevauchement")</x:f>
        <x:v>OK aucun chevauchement</x:v>
      </x:c>
      <x:c r="V514" s="24" t="str">
        <x:v>OK aucun chevauchement</x:v>
      </x:c>
      <x:c r="W514" s="24" t="str">
        <x:v>Si ERREUR : déplacer/redimensionner l’objet B ou créer un bookmark/masquage</x:v>
      </x:c>
    </x:row>
    <x:row r="515">
      <x:c r="A515" s="24" t="str">
        <x:v>Alertes</x:v>
      </x:c>
      <x:c r="B515" s="24" t="str">
        <x:v>G04_Alertes</x:v>
      </x:c>
      <x:c r="C515" s="24" t="str">
        <x:v>Bloc_Recommandation</x:v>
      </x:c>
      <x:c r="D515" s="24" t="str">
        <x:v>G05_Table</x:v>
      </x:c>
      <x:c r="E515" s="24" t="str">
        <x:v>Table_Detail_Alertes</x:v>
      </x:c>
      <x:c r="F515" s="25" t="n">
        <x:v>778</x:v>
      </x:c>
      <x:c r="G515" s="25" t="n">
        <x:v>535</x:v>
      </x:c>
      <x:c r="H515" s="25" t="n">
        <x:v>742</x:v>
      </x:c>
      <x:c r="I515" s="25" t="n">
        <x:v>330</x:v>
      </x:c>
      <x:c r="J515" s="25" t="n">
        <x:f>F515+H515</x:f>
        <x:v>1520</x:v>
      </x:c>
      <x:c r="K515" s="25" t="n">
        <x:f>G515+I515</x:f>
        <x:v>865</x:v>
      </x:c>
      <x:c r="L515" s="25" t="n">
        <x:v>20</x:v>
      </x:c>
      <x:c r="M515" s="25" t="n">
        <x:v>885</x:v>
      </x:c>
      <x:c r="N515" s="25" t="n">
        <x:v>1500</x:v>
      </x:c>
      <x:c r="O515" s="25" t="n">
        <x:v>430</x:v>
      </x:c>
      <x:c r="P515" s="25" t="n">
        <x:f>L515+N515</x:f>
        <x:v>1520</x:v>
      </x:c>
      <x:c r="Q515" s="25" t="n">
        <x:f>M515+O515</x:f>
        <x:v>1315</x:v>
      </x:c>
      <x:c r="R515" s="25" t="n">
        <x:f>MAX(0,MIN(J515,P515)-MAX(F515,L515))</x:f>
        <x:v>742</x:v>
      </x:c>
      <x:c r="S515" s="25" t="n">
        <x:f>MAX(0,MIN(K515,Q515)-MAX(G515,M515))</x:f>
        <x:v>0</x:v>
      </x:c>
      <x:c r="T515" s="25" t="n">
        <x:f>R515*S515</x:f>
        <x:v>0</x:v>
      </x:c>
      <x:c r="U515" s="24" t="str">
        <x:f>IF(T515&gt;0,"ERREUR chevauchement","OK aucun chevauchement")</x:f>
        <x:v>OK aucun chevauchement</x:v>
      </x:c>
      <x:c r="V515" s="24" t="str">
        <x:v>OK aucun chevauchement</x:v>
      </x:c>
      <x:c r="W515" s="24" t="str">
        <x:v>Si ERREUR : déplacer/redimensionner l’objet B ou créer un bookmark/masquage</x:v>
      </x:c>
    </x:row>
  </x:sheetData>
  <x:conditionalFormatting sqref="U2:V515">
    <x:cfRule type="expression" dxfId="0" priority="1">
      <x:formula>U2="ERREUR chevauchement"</x:formula>
    </x:cfRule>
    <x:cfRule type="expression" dxfId="1" priority="2">
      <x:formula>U2="OK aucun chevauchement"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dec0b10b0dc44e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29" t="str">
        <x:v>Section</x:v>
      </x:c>
      <x:c r="B1" s="29" t="str">
        <x:v>Instruction technique</x:v>
      </x:c>
    </x:row>
    <x:row r="2">
      <x:c r="A2" s="33" t="str">
        <x:v>Objectif</x:v>
      </x:c>
      <x:c r="B2" s="24" t="str">
        <x:v>Ajouter un contrôle systématique de chevauchement dans le build Power BI. Chaque visuel et chaque objet composite doit posséder X, Y, W, H, Right, Bottom, ZIndex et une politique d’overlap.</x:v>
      </x:c>
    </x:row>
    <x:row r="3">
      <x:c r="A3" s="33" t="str">
        <x:v>Règle overlap stricte</x:v>
      </x:c>
      <x:c r="B3" s="24" t="str">
        <x:v>Deux objets ne doivent pas se chevaucher si : MAX(0,MIN(Right1,Right2)-MAX(X1,X2)) * MAX(0,MIN(Bottom1,Bottom2)-MAX(Y1,Y2)) &gt; 0.</x:v>
      </x:c>
    </x:row>
    <x:row r="4">
      <x:c r="A4" s="33" t="str">
        <x:v>Exception autorisée</x:v>
      </x:c>
      <x:c r="B4" s="24" t="str">
        <x:v>Le chevauchement est autorisé uniquement pour les éléments déclarés Background, OverlayAllowed, ou pour un marqueur Budget sur sa barre BudgetTrack. Tous les autres chevauchements doivent être corrigés.</x:v>
      </x:c>
    </x:row>
    <x:row r="5">
      <x:c r="A5" s="33" t="str">
        <x:v>Card fusionnée</x:v>
      </x:c>
      <x:c r="B5" s="24" t="str">
        <x:v>Contrôler séparément les objets internes de chaque carte : fond, label, valeur, icône, chip N-1, chip MTD-1, sparkline, badges source, label budget, barre budget, marqueur budget. Le fond peut couvrir toute la carte ; les autres objets ne doivent pas se croiser.</x:v>
      </x:c>
    </x:row>
    <x:row r="6">
      <x:c r="A6" s="33" t="str">
        <x:v>Marge minimale</x:v>
      </x:c>
      <x:c r="B6" s="24" t="str">
        <x:v>Maintenir au moins 8 px entre les groupes/cards/visuels. Si gap &lt; 8 px, remonter un avertissement même sans chevauchement.</x:v>
      </x:c>
    </x:row>
    <x:row r="7">
      <x:c r="A7" s="33" t="str">
        <x:v>Contrôle Power BI Desktop</x:v>
      </x:c>
      <x:c r="B7" s="24" t="str">
        <x:v>Après placement, sélectionner tous les visuels &gt; vérifier dans Format &gt; Général &gt; Propriétés : X, Y, Width, Height. Reporter dans l’onglet 08_Controle_Overlap et vérifier l’onglet 09_Check_Overlap.</x:v>
      </x:c>
    </x:row>
    <x:row r="8">
      <x:c r="A8" s="33" t="str">
        <x:v>Contrôle PBIP</x:v>
      </x:c>
      <x:c r="B8" s="24" t="str">
        <x:v>Si le rapport est au format PBIP/PBIR, exécuter le script check_powerbi_overlap.py sur le dossier du rapport pour détecter les collisions dans les fichiers JSON.</x:v>
      </x:c>
    </x:row>
    <x:row r="9">
      <x:c r="A9" s="33" t="str">
        <x:v>Action si erreur</x:v>
      </x:c>
      <x:c r="B9" s="24" t="str">
        <x:v>Déplacer l’objet, réduire largeur/hauteur, augmenter le gap, ou mettre l’objet dans un bookmark exclusif si deux états visuels ne doivent pas être visibles simultanément.</x:v>
      </x:c>
    </x:row>
    <x:row r="10">
      <x:c r="A10" s="33" t="str">
        <x:v>Validation finale</x:v>
      </x:c>
      <x:c r="B10" s="24" t="str">
        <x:v>Aucune ligne ne doit afficher ERREUR chevauchement dans 09_Check_Overlap avant livraison.</x:v>
      </x:c>
    </x:row>
  </x:sheetData>
  <x:pageMargins left="0.7" right="0.7" top="0.75" bottom="0.75" header="0.3" footer="0.3"/>
</x:worksheet>
</file>